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13_ncr:1_{F7D28CBE-D9F9-E043-B7B0-23E240F274A2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sset Register" sheetId="1" r:id="rId1"/>
    <sheet name="Asset Summary" sheetId="2" r:id="rId2"/>
    <sheet name="Threat Model" sheetId="3" r:id="rId3"/>
    <sheet name="Risk Matrix" sheetId="8" r:id="rId4"/>
    <sheet name="Gap Analysis" sheetId="4" r:id="rId5"/>
    <sheet name="Recommendations" sheetId="5" r:id="rId6"/>
    <sheet name="Implementation Roadmap" sheetId="6" r:id="rId7"/>
    <sheet name="Dashboard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5" l="1"/>
</calcChain>
</file>

<file path=xl/sharedStrings.xml><?xml version="1.0" encoding="utf-8"?>
<sst xmlns="http://schemas.openxmlformats.org/spreadsheetml/2006/main" count="811" uniqueCount="469">
  <si>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</si>
  <si>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</si>
  <si>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</si>
  <si>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</si>
  <si>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</si>
  <si>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</si>
  <si>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</si>
  <si>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</si>
  <si>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</si>
  <si>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</si>
  <si>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</si>
  <si>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</si>
  <si>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</si>
  <si>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</si>
  <si>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</si>
  <si>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</si>
  <si>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</si>
  <si>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</si>
  <si>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</si>
  <si>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</si>
  <si>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</si>
  <si>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</si>
  <si>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</si>
  <si>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</si>
  <si>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</si>
  <si>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</si>
  <si>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</si>
  <si>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</si>
  <si>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</si>
  <si>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</si>
  <si>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</si>
  <si>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</si>
  <si>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</si>
  <si>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</si>
  <si>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</si>
  <si>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</si>
  <si>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</si>
  <si>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</si>
  <si>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</si>
  <si>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</si>
  <si>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</si>
  <si>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</si>
  <si>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</si>
  <si>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</si>
  <si>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</si>
  <si>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</si>
  <si>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</si>
  <si>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</si>
  <si>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</si>
  <si>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</si>
  <si>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</si>
  <si>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</si>
  <si>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</si>
  <si>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</si>
  <si>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</si>
  <si>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</si>
  <si>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</si>
  <si>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</si>
  <si>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</si>
  <si>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</si>
  <si>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</si>
  <si>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</si>
  <si>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</si>
  <si>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</si>
  <si>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</si>
  <si>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</si>
  <si>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</si>
  <si>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</si>
  <si>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</si>
  <si>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</si>
  <si>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</si>
  <si>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</si>
  <si>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</si>
  <si>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</si>
  <si>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</si>
  <si>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</si>
  <si>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</si>
  <si>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</si>
  <si>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</si>
  <si>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</si>
  <si>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</si>
  <si>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</si>
  <si>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</si>
  <si>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</si>
  <si>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</si>
  <si>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</si>
  <si>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</si>
  <si>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</si>
  <si>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</si>
  <si>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</si>
  <si>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</si>
  <si>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</si>
  <si>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</si>
  <si>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</si>
  <si>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</si>
  <si>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</si>
  <si>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</si>
  <si>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</si>
  <si>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</si>
  <si>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</si>
  <si>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</si>
  <si>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</si>
  <si>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</si>
  <si>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</si>
  <si>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</si>
  <si>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</si>
  <si>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</si>
  <si>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</si>
  <si>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</si>
  <si>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</si>
  <si>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</si>
  <si>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</si>
  <si>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</si>
  <si>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</si>
  <si>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</si>
  <si>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</si>
  <si>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</si>
  <si>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</si>
  <si>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</si>
  <si>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</si>
  <si>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</si>
  <si>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</si>
  <si>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</si>
  <si>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</si>
  <si>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</si>
  <si>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</si>
  <si>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</si>
  <si>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</si>
  <si>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</si>
  <si>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</si>
  <si>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</si>
  <si>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</si>
  <si>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</si>
  <si>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</si>
  <si>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</si>
  <si>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</si>
  <si>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</si>
  <si>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</si>
  <si>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</si>
  <si>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</si>
  <si>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</si>
  <si>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</si>
  <si>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</si>
  <si>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</si>
  <si>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</si>
  <si>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</si>
  <si>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</si>
  <si>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</si>
  <si>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</si>
  <si>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</si>
  <si>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</si>
  <si>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</si>
  <si>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</si>
  <si>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</si>
  <si>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</si>
  <si>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</si>
  <si>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</si>
  <si>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</si>
  <si>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</si>
  <si>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</si>
  <si>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</si>
  <si>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</si>
  <si>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</si>
  <si>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</si>
  <si>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</si>
  <si>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</si>
  <si>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</si>
  <si>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</si>
  <si>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</si>
  <si>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</si>
  <si>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</si>
  <si>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</si>
  <si>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</si>
  <si>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</si>
  <si>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</si>
  <si>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</si>
  <si>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</si>
  <si>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</si>
  <si>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</si>
  <si>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</si>
  <si>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</si>
  <si>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</si>
  <si>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</si>
  <si>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</si>
  <si>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</si>
  <si>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</si>
  <si>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</si>
  <si>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</si>
  <si>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</si>
  <si>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</si>
  <si>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</si>
  <si>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</si>
  <si>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</si>
  <si>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</si>
  <si>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</si>
  <si>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</si>
  <si>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</si>
  <si>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</si>
  <si>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</si>
  <si>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</si>
  <si>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</si>
  <si>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</si>
  <si>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</si>
  <si>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</si>
  <si>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</si>
  <si>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</si>
  <si>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</si>
  <si>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</si>
  <si>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</si>
  <si>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</si>
  <si>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</si>
  <si>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</si>
  <si>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</si>
  <si>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</si>
  <si>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</si>
  <si>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</si>
  <si>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</si>
  <si>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</si>
  <si>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</si>
  <si>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</si>
  <si>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</si>
  <si>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</si>
  <si>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</si>
  <si>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</si>
  <si>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</si>
  <si>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</si>
  <si>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</si>
  <si>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</si>
  <si>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</si>
  <si>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</si>
  <si>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</si>
  <si>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</si>
  <si>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</si>
  <si>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</si>
  <si>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</si>
  <si>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</si>
  <si>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</si>
  <si>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</si>
  <si>
    <t>ID</t>
  </si>
  <si>
    <t>Security Area</t>
  </si>
  <si>
    <t>Current State</t>
  </si>
  <si>
    <t>Desired State</t>
  </si>
  <si>
    <t>Gap</t>
  </si>
  <si>
    <t>Priority</t>
  </si>
  <si>
    <t>Recommended Action</t>
  </si>
  <si>
    <t>Timeline</t>
  </si>
  <si>
    <t>GAP-001</t>
  </si>
  <si>
    <t>Multi-Factor Authentication</t>
  </si>
  <si>
    <t>MFA is not currently implemented</t>
  </si>
  <si>
    <t>MFA enabled for all users</t>
  </si>
  <si>
    <t>Accounts rely mainly on passwords</t>
  </si>
  <si>
    <t>Implement MFA for Microsoft 365 and VPN</t>
  </si>
  <si>
    <t>Month 2</t>
  </si>
  <si>
    <t>GAP-002</t>
  </si>
  <si>
    <t>Password Security</t>
  </si>
  <si>
    <t>Basic password protection</t>
  </si>
  <si>
    <t>Strong password policy and secure authentication</t>
  </si>
  <si>
    <t>Password security could be improved</t>
  </si>
  <si>
    <t>Introduce strong password requirements and password manager guidance</t>
  </si>
  <si>
    <t>IT Manager / HR</t>
  </si>
  <si>
    <t>Month 1</t>
  </si>
  <si>
    <t>GAP-003</t>
  </si>
  <si>
    <t>Security Awareness</t>
  </si>
  <si>
    <t>No formal recurring security awareness programme</t>
  </si>
  <si>
    <t>Annual and periodic security awareness training</t>
  </si>
  <si>
    <t>Employees may be vulnerable to phishing and social engineering</t>
  </si>
  <si>
    <t>Introduce cybersecurity awareness training</t>
  </si>
  <si>
    <t>HR Manager / IT Manager</t>
  </si>
  <si>
    <t>Month 3</t>
  </si>
  <si>
    <t>GAP-004</t>
  </si>
  <si>
    <t>Phishing Protection</t>
  </si>
  <si>
    <t>Basic email security</t>
  </si>
  <si>
    <t>Advanced email filtering and phishing protection</t>
  </si>
  <si>
    <t>Increased risk of malicious emails reaching employees</t>
  </si>
  <si>
    <t>Improve Microsoft 365 email security controls</t>
  </si>
  <si>
    <t>GAP-005</t>
  </si>
  <si>
    <t>Endpoint Protection</t>
  </si>
  <si>
    <t>Endpoint protection is implemented</t>
  </si>
  <si>
    <t>Centrally managed endpoint detection and response</t>
  </si>
  <si>
    <t>Limited advanced monitoring</t>
  </si>
  <si>
    <t>Implement improved endpoint detection and response</t>
  </si>
  <si>
    <t>GAP-006</t>
  </si>
  <si>
    <t>Backup Testing</t>
  </si>
  <si>
    <t>Backups are performed but regular recovery testing is not confirmed</t>
  </si>
  <si>
    <t>Backups regularly tested and verified</t>
  </si>
  <si>
    <t>Recovery reliability is uncertain</t>
  </si>
  <si>
    <t>Perform scheduled backup restoration tests</t>
  </si>
  <si>
    <t>Month 5</t>
  </si>
  <si>
    <t>GAP-007</t>
  </si>
  <si>
    <t>Offline Backups</t>
  </si>
  <si>
    <t>NAS and backup drives are available</t>
  </si>
  <si>
    <t>Protected offline/isolated backups maintained</t>
  </si>
  <si>
    <t>Backups may be exposed to ransomware</t>
  </si>
  <si>
    <t>Introduce offline or immutable backup copies</t>
  </si>
  <si>
    <t>GAP-008</t>
  </si>
  <si>
    <t>Network Segmentation</t>
  </si>
  <si>
    <t>Internal network is broadly connected</t>
  </si>
  <si>
    <t>Network separated into appropriate security zones</t>
  </si>
  <si>
    <t>Attackers could move between systems more easily</t>
  </si>
  <si>
    <t>Implement network segmentation/VLANs</t>
  </si>
  <si>
    <t>Month 4</t>
  </si>
  <si>
    <t>GAP-009</t>
  </si>
  <si>
    <t>Access Reviews</t>
  </si>
  <si>
    <t>Access is managed but regular reviews are not confirmed</t>
  </si>
  <si>
    <t>Quarterly access reviews performed</t>
  </si>
  <si>
    <t>Unnecessary access may remain active</t>
  </si>
  <si>
    <t>Conduct quarterly user and access reviews</t>
  </si>
  <si>
    <t>GAP-010</t>
  </si>
  <si>
    <t>Visitor Management</t>
  </si>
  <si>
    <t>Visitors sign in but are not always escorted</t>
  </si>
  <si>
    <t>Visitors escorted in restricted areas</t>
  </si>
  <si>
    <t>Visitors could access restricted areas</t>
  </si>
  <si>
    <t>Introduce mandatory visitor escorting</t>
  </si>
  <si>
    <t>Facilities Manager</t>
  </si>
  <si>
    <t>GAP-011</t>
  </si>
  <si>
    <t>Server Room Monitoring</t>
  </si>
  <si>
    <t>No dedicated CCTV in server room</t>
  </si>
  <si>
    <t>Server room monitored by CCTV</t>
  </si>
  <si>
    <t>Physical security monitoring gap</t>
  </si>
  <si>
    <t>Install server-room CCTV</t>
  </si>
  <si>
    <t>GAP-012</t>
  </si>
  <si>
    <t>Clean Desk</t>
  </si>
  <si>
    <t>No formal clean desk policy</t>
  </si>
  <si>
    <t>Formal clean desk policy implemented</t>
  </si>
  <si>
    <t>Confidential documents may be exposed</t>
  </si>
  <si>
    <t>Introduce and enforce clean desk policy</t>
  </si>
  <si>
    <t>GAP-013</t>
  </si>
  <si>
    <t>Laptop Security</t>
  </si>
  <si>
    <t>Laptop locks are not currently used</t>
  </si>
  <si>
    <t>Laptops physically secured where appropriate</t>
  </si>
  <si>
    <t>Increased physical theft risk</t>
  </si>
  <si>
    <t>Provide laptop security locks</t>
  </si>
  <si>
    <t>GAP-014</t>
  </si>
  <si>
    <t>Incident Response</t>
  </si>
  <si>
    <t>Incident response procedures require formalisation</t>
  </si>
  <si>
    <t>Documented and tested incident response plan</t>
  </si>
  <si>
    <t>Response may be inconsistent during an incident</t>
  </si>
  <si>
    <t>Develop and test incident response plan</t>
  </si>
  <si>
    <t>IT Manager / Project Manager</t>
  </si>
  <si>
    <t>GAP-015</t>
  </si>
  <si>
    <t>Vulnerability Management</t>
  </si>
  <si>
    <t>Regular vulnerability assessments are not confirmed</t>
  </si>
  <si>
    <t>Regular vulnerability scanning and remediation</t>
  </si>
  <si>
    <t>Vulnerabilities may remain undetected</t>
  </si>
  <si>
    <t>Introduce quarterly vulnerability assessments</t>
  </si>
  <si>
    <t>Problem</t>
  </si>
  <si>
    <t>Business Impact</t>
  </si>
  <si>
    <t>Recommendation</t>
  </si>
  <si>
    <t>Estimated Cost</t>
  </si>
  <si>
    <t>Related Risk</t>
  </si>
  <si>
    <t>REC-001</t>
  </si>
  <si>
    <t>MFA is not implemented for all users</t>
  </si>
  <si>
    <t>Compromised passwords could allow unauthorised access to company systems and data</t>
  </si>
  <si>
    <t>Implement MFA for Microsoft 365, VPN and other supported services</t>
  </si>
  <si>
    <t>Phishing / VPN Account Compromise</t>
  </si>
  <si>
    <t>REC-002</t>
  </si>
  <si>
    <t>Password security requires improvement</t>
  </si>
  <si>
    <t>Weak or reused passwords increase the risk of account compromise</t>
  </si>
  <si>
    <t>Implement a strong password policy and approved password management solution</t>
  </si>
  <si>
    <t>REC-003</t>
  </si>
  <si>
    <t>Security awareness training is not formalised</t>
  </si>
  <si>
    <t>Employees may fall victim to phishing and social engineering</t>
  </si>
  <si>
    <t>Introduce annual security awareness training and simulated phishing exercises</t>
  </si>
  <si>
    <t>Phishing</t>
  </si>
  <si>
    <t>REC-004</t>
  </si>
  <si>
    <t>Email security controls require improvement</t>
  </si>
  <si>
    <t>Malicious emails could lead to credential theft or malware infection</t>
  </si>
  <si>
    <t>Strengthen Microsoft 365 email filtering and anti-phishing controls</t>
  </si>
  <si>
    <t>Phishing / Business Email Compromise</t>
  </si>
  <si>
    <t>REC-005</t>
  </si>
  <si>
    <t>Advanced endpoint monitoring is limited</t>
  </si>
  <si>
    <t>Malware may remain undetected and spread across devices</t>
  </si>
  <si>
    <t>Implement centrally managed endpoint detection and response</t>
  </si>
  <si>
    <t>Malware Infection / Ransomware</t>
  </si>
  <si>
    <t>REC-006</t>
  </si>
  <si>
    <t>Backup recovery testing is not confirmed</t>
  </si>
  <si>
    <t>Failed backups could prevent recovery after ransomware or system failure</t>
  </si>
  <si>
    <t>Backup Failure / Ransomware</t>
  </si>
  <si>
    <t>REC-007</t>
  </si>
  <si>
    <t>Backup protection against ransomware requires improvement</t>
  </si>
  <si>
    <t>Attackers could compromise accessible backups</t>
  </si>
  <si>
    <t>Ransomware / Backup Failure</t>
  </si>
  <si>
    <t>REC-008</t>
  </si>
  <si>
    <t>Internal network segmentation requires improvement</t>
  </si>
  <si>
    <t>Attackers could move between systems after gaining access</t>
  </si>
  <si>
    <t>Implement VLANs and appropriate network segmentation</t>
  </si>
  <si>
    <t>REC-009</t>
  </si>
  <si>
    <t>Physical visitor controls are inconsistent</t>
  </si>
  <si>
    <t>Visitors could gain access to restricted areas or sensitive information</t>
  </si>
  <si>
    <t>REC-010</t>
  </si>
  <si>
    <t>Server room has no dedicated CCTV</t>
  </si>
  <si>
    <t>Physical attacks or unauthorised access may not be detected</t>
  </si>
  <si>
    <t>Install CCTV covering the server room entrance/area</t>
  </si>
  <si>
    <t>REC-011</t>
  </si>
  <si>
    <t>Confidential documents could be viewed or removed by unauthorised individuals</t>
  </si>
  <si>
    <t>Introduce and enforce a clean desk policy</t>
  </si>
  <si>
    <t>Data Breach</t>
  </si>
  <si>
    <t>REC-012</t>
  </si>
  <si>
    <t>Incident response procedures require formal testing</t>
  </si>
  <si>
    <t>The company may respond slowly or inconsistently during a major incident</t>
  </si>
  <si>
    <t>Conduct an incident response exercise and update the response plan</t>
  </si>
  <si>
    <t>Project Manager / IT Manager</t>
  </si>
  <si>
    <t>Ransomware / Data Breach</t>
  </si>
  <si>
    <t>TOTAL</t>
  </si>
  <si>
    <t>Task ID</t>
  </si>
  <si>
    <t>Implementation Activity</t>
  </si>
  <si>
    <t>Related Recommendation</t>
  </si>
  <si>
    <t>Start</t>
  </si>
  <si>
    <t>End</t>
  </si>
  <si>
    <t>Status</t>
  </si>
  <si>
    <t>IMP-001</t>
  </si>
  <si>
    <t>Approve and implement Password Policy</t>
  </si>
  <si>
    <t>Planned</t>
  </si>
  <si>
    <t>IMP-002</t>
  </si>
  <si>
    <t>Formalise Incident Response Plan</t>
  </si>
  <si>
    <t>IMP-003</t>
  </si>
  <si>
    <t>IMP-004</t>
  </si>
  <si>
    <t>Implement MFA</t>
  </si>
  <si>
    <t>IMP-005</t>
  </si>
  <si>
    <t>Improve email security controls</t>
  </si>
  <si>
    <t>IMP-006</t>
  </si>
  <si>
    <t>Deliver security awareness training</t>
  </si>
  <si>
    <t>IMP-007</t>
  </si>
  <si>
    <t>Implement endpoint detection and response</t>
  </si>
  <si>
    <t>IMP-008</t>
  </si>
  <si>
    <t>Introduce clean desk policy</t>
  </si>
  <si>
    <t>IMP-009</t>
  </si>
  <si>
    <t>Implement network segmentation</t>
  </si>
  <si>
    <t>IMP-010</t>
  </si>
  <si>
    <t>IMP-011</t>
  </si>
  <si>
    <t>Improve and test backup systems</t>
  </si>
  <si>
    <t>REC-006 / REC-007</t>
  </si>
  <si>
    <t>IMP-012</t>
  </si>
  <si>
    <t>Conduct cybersecurity audit and review</t>
  </si>
  <si>
    <t>Project Manager / Compliance</t>
  </si>
  <si>
    <t>Month 6</t>
  </si>
  <si>
    <t>Activity</t>
  </si>
  <si>
    <t>Password Policy</t>
  </si>
  <si>
    <t>Incident Response Plan</t>
  </si>
  <si>
    <t>Visitor Escorting</t>
  </si>
  <si>
    <t>MFA</t>
  </si>
  <si>
    <t>Email Security</t>
  </si>
  <si>
    <t>Security Awareness Training</t>
  </si>
  <si>
    <t>Clean Desk Policy</t>
  </si>
  <si>
    <t>Server CCTV</t>
  </si>
  <si>
    <t>Backup Improvements</t>
  </si>
  <si>
    <t>Cybersecurity Audit</t>
  </si>
  <si>
    <t>Implementation Budget</t>
  </si>
  <si>
    <t>Estimated Implementation Cost</t>
  </si>
  <si>
    <t>Contingency (10%)</t>
  </si>
  <si>
    <t>Total Project Budget</t>
  </si>
  <si>
    <r>
      <t>Note:</t>
    </r>
    <r>
      <rPr>
        <sz val="11"/>
        <color rgb="FF000000"/>
        <rFont val="-webkit-standard"/>
      </rPr>
      <t xml:space="preserve"> All costs are indicative estimates prepared for portfolio planning purposes. </t>
    </r>
  </si>
  <si>
    <t>Actual costs would require supplier quotations before implementation.</t>
  </si>
  <si>
    <t>EMERALD FINANCIAL SOLUTIONS LTD</t>
  </si>
  <si>
    <t>Cybersecurity Risk Assessment Dashboard</t>
  </si>
  <si>
    <t>TOTAL ASSETS</t>
  </si>
  <si>
    <t>Key assets assessed</t>
  </si>
  <si>
    <t>TOTAL RISKS</t>
  </si>
  <si>
    <t>Threats assessed</t>
  </si>
  <si>
    <t>Requires immediate action</t>
  </si>
  <si>
    <t>6-month implementation plan</t>
  </si>
  <si>
    <t>CRITICAL RISKS</t>
  </si>
  <si>
    <t>PROJECT BOX</t>
  </si>
  <si>
    <t>PROGRESS</t>
  </si>
  <si>
    <t>Project Not Started</t>
  </si>
  <si>
    <t>Risk Level</t>
  </si>
  <si>
    <t>Number</t>
  </si>
  <si>
    <t>Thret ID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</si>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</sst>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_);[Red]\(&quot;€&quot;#,##0\)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i/>
      <u val="double"/>
      <sz val="11"/>
      <color rgb="FF000000"/>
      <name val="Calibri"/>
      <family val="2"/>
      <scheme val="minor"/>
    </font>
    <font>
      <sz val="14"/>
      <color rgb="FF000000"/>
      <name val="-webkit-standard"/>
    </font>
    <font>
      <b/>
      <u/>
      <sz val="14"/>
      <color rgb="FF000000"/>
      <name val="-webkit-standard"/>
    </font>
    <font>
      <sz val="11"/>
      <color rgb="FF000000"/>
      <name val="-webkit-standard"/>
    </font>
    <font>
      <b/>
      <i/>
      <u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8" fillId="0" borderId="0" xfId="0" applyFont="1"/>
    <xf numFmtId="6" fontId="0" fillId="0" borderId="0" xfId="0" applyNumberFormat="1"/>
    <xf numFmtId="6" fontId="1" fillId="0" borderId="0" xfId="0" applyNumberFormat="1" applyFont="1"/>
    <xf numFmtId="0" fontId="1" fillId="8" borderId="0" xfId="0" applyFont="1" applyFill="1"/>
    <xf numFmtId="0" fontId="1" fillId="3" borderId="0" xfId="0" applyFont="1" applyFill="1"/>
    <xf numFmtId="0" fontId="9" fillId="0" borderId="0" xfId="0" applyFont="1"/>
    <xf numFmtId="0" fontId="0" fillId="9" borderId="0" xfId="0" applyFill="1"/>
    <xf numFmtId="0" fontId="11" fillId="0" borderId="0" xfId="0" applyFont="1"/>
    <xf numFmtId="17" fontId="14" fillId="0" borderId="0" xfId="0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/>
  <cols>
    <col min="43" max="43" width="14.33203125" customWidth="1"/>
  </cols>
  <sheetData>
    <row r="1" spans="1:46">
      <c r="A1" t="s">
        <v>0</v>
      </c>
    </row>
    <row r="2" spans="1:46">
      <c r="A2" t="s">
        <v>1</v>
      </c>
    </row>
    <row r="3" spans="1:46">
      <c r="A3" t="s">
        <v>2</v>
      </c>
    </row>
    <row r="4" spans="1:46">
      <c r="A4" t="s">
        <v>3</v>
      </c>
    </row>
    <row r="6" spans="1:46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>
      <c r="AQ7" t="s">
        <v>20</v>
      </c>
      <c r="AT7" t="s">
        <v>21</v>
      </c>
    </row>
    <row r="8" spans="1:46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>
      <c r="G9" t="s">
        <v>36</v>
      </c>
      <c r="AK9" t="s">
        <v>37</v>
      </c>
      <c r="AN9" t="s">
        <v>38</v>
      </c>
      <c r="AO9" t="s">
        <v>39</v>
      </c>
    </row>
    <row r="12" spans="1:46" ht="16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>
      <c r="D13" t="s">
        <v>50</v>
      </c>
    </row>
    <row r="15" spans="1:46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>
      <c r="P16" t="s">
        <v>55</v>
      </c>
    </row>
    <row r="18" spans="1:46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>
      <c r="AN21" t="s">
        <v>69</v>
      </c>
      <c r="AQ21" t="s">
        <v>70</v>
      </c>
    </row>
    <row r="23" spans="1:46" ht="19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>
      <c r="AQ24" t="s">
        <v>35</v>
      </c>
    </row>
    <row r="26" spans="1:46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>
      <c r="AQ27" s="4" t="s">
        <v>82</v>
      </c>
    </row>
    <row r="28" spans="1:46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>
      <c r="D29" t="s">
        <v>88</v>
      </c>
      <c r="AN29" t="s">
        <v>69</v>
      </c>
      <c r="AQ29" s="4" t="s">
        <v>82</v>
      </c>
    </row>
    <row r="31" spans="1:46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>
      <c r="AQ32" t="s">
        <v>95</v>
      </c>
      <c r="AT32" t="s">
        <v>96</v>
      </c>
    </row>
    <row r="33" spans="1:46">
      <c r="AQ33" t="s">
        <v>97</v>
      </c>
    </row>
    <row r="35" spans="1:46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>
      <c r="AN36" t="s">
        <v>106</v>
      </c>
    </row>
    <row r="38" spans="1:46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>
      <c r="D41" t="s">
        <v>116</v>
      </c>
      <c r="AQ41" t="s">
        <v>124</v>
      </c>
      <c r="AT41" t="s">
        <v>125</v>
      </c>
    </row>
    <row r="43" spans="1:46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>
      <c r="D44" t="s">
        <v>136</v>
      </c>
    </row>
    <row r="46" spans="1:46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/>
  <sheetData>
    <row r="1" spans="1:6">
      <c r="A1" t="s">
        <v>144</v>
      </c>
      <c r="F1" t="s">
        <v>145</v>
      </c>
    </row>
    <row r="3" spans="1:6">
      <c r="A3" t="s">
        <v>146</v>
      </c>
      <c r="F3">
        <v>13</v>
      </c>
    </row>
    <row r="5" spans="1:6">
      <c r="A5" t="s">
        <v>147</v>
      </c>
      <c r="F5">
        <v>4</v>
      </c>
    </row>
    <row r="7" spans="1:6">
      <c r="A7" t="s">
        <v>148</v>
      </c>
      <c r="F7">
        <v>5</v>
      </c>
    </row>
    <row r="9" spans="1:6">
      <c r="A9" t="s">
        <v>149</v>
      </c>
      <c r="F9">
        <v>1</v>
      </c>
    </row>
    <row r="11" spans="1:6">
      <c r="A11" t="s">
        <v>150</v>
      </c>
      <c r="F11">
        <v>2</v>
      </c>
    </row>
    <row r="13" spans="1:6">
      <c r="A13" t="s">
        <v>151</v>
      </c>
      <c r="F13">
        <v>1</v>
      </c>
    </row>
    <row r="15" spans="1:6">
      <c r="A15" t="s">
        <v>152</v>
      </c>
      <c r="F15">
        <v>6</v>
      </c>
    </row>
    <row r="35" spans="1:1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workbookViewId="0">
      <pane ySplit="1" topLeftCell="A2" activePane="bottomLeft" state="frozen"/>
      <selection pane="bottomLeft" activeCell="V21" sqref="V21"/>
    </sheetView>
  </sheetViews>
  <sheetFormatPr baseColWidth="10" defaultColWidth="8.83203125" defaultRowHeight="15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>
      <c r="A4" s="11"/>
      <c r="G4" s="4" t="s">
        <v>168</v>
      </c>
      <c r="AD4" s="4" t="s">
        <v>169</v>
      </c>
    </row>
    <row r="5" spans="1:30" ht="16">
      <c r="A5" s="11"/>
    </row>
    <row r="6" spans="1:30" ht="16">
      <c r="A6" s="11"/>
    </row>
    <row r="7" spans="1:30" ht="16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>
      <c r="A8" s="11"/>
      <c r="G8" s="9" t="s">
        <v>176</v>
      </c>
      <c r="AD8" s="4" t="s">
        <v>177</v>
      </c>
    </row>
    <row r="9" spans="1:30" ht="16">
      <c r="A9" s="11"/>
      <c r="G9" t="s">
        <v>178</v>
      </c>
      <c r="AD9" s="4" t="s">
        <v>179</v>
      </c>
    </row>
    <row r="10" spans="1:30" ht="16">
      <c r="A10" s="11"/>
      <c r="AD10" s="4"/>
    </row>
    <row r="11" spans="1:30" ht="16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>
      <c r="A12" s="11"/>
      <c r="G12" s="4" t="s">
        <v>186</v>
      </c>
    </row>
    <row r="13" spans="1:30" ht="16">
      <c r="A13" s="11"/>
      <c r="G13" s="4"/>
    </row>
    <row r="14" spans="1:30" ht="16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>
      <c r="A15" s="11"/>
      <c r="G15" s="9" t="s">
        <v>193</v>
      </c>
    </row>
    <row r="16" spans="1:30" ht="16">
      <c r="A16" s="11"/>
      <c r="G16" s="9"/>
    </row>
    <row r="17" spans="1:30" ht="16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>
      <c r="A18" s="11"/>
      <c r="G18" s="9" t="s">
        <v>200</v>
      </c>
    </row>
    <row r="19" spans="1:30" ht="16">
      <c r="A19" s="11"/>
      <c r="G19" s="9"/>
    </row>
    <row r="20" spans="1:30" ht="16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>
      <c r="A21" s="11"/>
    </row>
    <row r="22" spans="1:30" ht="16">
      <c r="A22" s="11"/>
    </row>
    <row r="23" spans="1:30" ht="16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>
      <c r="A24" s="11"/>
      <c r="G24" t="s">
        <v>213</v>
      </c>
      <c r="AD24" s="4" t="s">
        <v>214</v>
      </c>
    </row>
    <row r="25" spans="1:30" ht="16">
      <c r="A25" s="11"/>
    </row>
    <row r="26" spans="1:30" ht="16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>
      <c r="A27" s="11"/>
      <c r="G27" s="9" t="s">
        <v>221</v>
      </c>
      <c r="AD27" s="9" t="s">
        <v>222</v>
      </c>
    </row>
    <row r="28" spans="1:30" ht="16">
      <c r="A28" s="11"/>
    </row>
    <row r="29" spans="1:30" ht="16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>
      <c r="A30" s="11"/>
      <c r="G30" t="s">
        <v>229</v>
      </c>
    </row>
    <row r="31" spans="1:30" ht="16">
      <c r="A31" s="11"/>
    </row>
    <row r="32" spans="1:30" ht="16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>
      <c r="A33" s="8"/>
      <c r="G33" t="s">
        <v>237</v>
      </c>
    </row>
    <row r="34" spans="1:7" ht="16">
      <c r="A34" s="8"/>
    </row>
    <row r="35" spans="1:7" ht="16">
      <c r="A35" s="8"/>
    </row>
    <row r="36" spans="1:7" ht="16">
      <c r="A36" s="8"/>
    </row>
    <row r="37" spans="1:7" ht="16">
      <c r="A37" s="8"/>
    </row>
    <row r="38" spans="1:7" ht="16">
      <c r="A38" s="8"/>
    </row>
    <row r="39" spans="1:7" ht="16">
      <c r="A39" s="8"/>
    </row>
    <row r="40" spans="1:7" ht="16">
      <c r="A40" s="8"/>
    </row>
    <row r="41" spans="1:7" ht="16">
      <c r="A41" s="8"/>
    </row>
    <row r="42" spans="1:7" ht="16">
      <c r="A42" s="8"/>
    </row>
    <row r="43" spans="1:7" ht="16">
      <c r="A43" s="8"/>
    </row>
    <row r="44" spans="1:7" ht="19">
      <c r="A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734-5385-B44D-A86C-D21D5C3A8406}">
  <dimension ref="A1:P32"/>
  <sheetViews>
    <sheetView tabSelected="1" workbookViewId="0">
      <selection activeCell="U22" sqref="U22"/>
    </sheetView>
  </sheetViews>
  <sheetFormatPr baseColWidth="10" defaultRowHeight="15"/>
  <sheetData>
    <row r="1" spans="1:16">
      <c r="A1" t="s">
        <v>467</v>
      </c>
      <c r="D1" t="s">
        <v>155</v>
      </c>
      <c r="G1" t="s">
        <v>157</v>
      </c>
      <c r="J1" t="s">
        <v>158</v>
      </c>
      <c r="M1" t="s">
        <v>468</v>
      </c>
      <c r="P1" t="s">
        <v>465</v>
      </c>
    </row>
    <row r="3" spans="1:16">
      <c r="A3" t="s">
        <v>162</v>
      </c>
      <c r="D3" t="s">
        <v>163</v>
      </c>
      <c r="G3">
        <v>5</v>
      </c>
      <c r="J3">
        <v>5</v>
      </c>
      <c r="M3">
        <v>25</v>
      </c>
      <c r="P3" s="5" t="s">
        <v>60</v>
      </c>
    </row>
    <row r="7" spans="1:16">
      <c r="A7" t="s">
        <v>170</v>
      </c>
      <c r="D7" t="s">
        <v>171</v>
      </c>
      <c r="G7">
        <v>3</v>
      </c>
      <c r="J7">
        <v>5</v>
      </c>
      <c r="M7">
        <v>15</v>
      </c>
      <c r="P7" s="7" t="s">
        <v>47</v>
      </c>
    </row>
    <row r="10" spans="1:16">
      <c r="P10" s="5" t="s">
        <v>60</v>
      </c>
    </row>
    <row r="11" spans="1:16">
      <c r="A11" t="s">
        <v>180</v>
      </c>
      <c r="D11" t="s">
        <v>181</v>
      </c>
      <c r="G11">
        <v>5</v>
      </c>
      <c r="J11">
        <v>4</v>
      </c>
      <c r="M11">
        <v>20</v>
      </c>
    </row>
    <row r="14" spans="1:16">
      <c r="A14" t="s">
        <v>187</v>
      </c>
      <c r="D14" t="s">
        <v>188</v>
      </c>
      <c r="G14">
        <v>3</v>
      </c>
      <c r="J14">
        <v>5</v>
      </c>
      <c r="M14">
        <v>15</v>
      </c>
      <c r="P14" s="7" t="s">
        <v>47</v>
      </c>
    </row>
    <row r="17" spans="1:16">
      <c r="A17" t="s">
        <v>194</v>
      </c>
      <c r="D17" t="s">
        <v>195</v>
      </c>
      <c r="G17">
        <v>3</v>
      </c>
      <c r="J17">
        <v>4</v>
      </c>
      <c r="M17">
        <v>12</v>
      </c>
      <c r="P17" s="7" t="s">
        <v>47</v>
      </c>
    </row>
    <row r="20" spans="1:16">
      <c r="A20" t="s">
        <v>201</v>
      </c>
      <c r="D20" t="s">
        <v>202</v>
      </c>
      <c r="G20">
        <v>3</v>
      </c>
      <c r="J20">
        <v>4</v>
      </c>
      <c r="M20">
        <v>12</v>
      </c>
      <c r="P20" s="7" t="s">
        <v>47</v>
      </c>
    </row>
    <row r="23" spans="1:16">
      <c r="A23" t="s">
        <v>207</v>
      </c>
      <c r="D23" t="s">
        <v>208</v>
      </c>
      <c r="G23">
        <v>3</v>
      </c>
      <c r="J23">
        <v>5</v>
      </c>
      <c r="M23">
        <v>15</v>
      </c>
      <c r="P23" s="7" t="s">
        <v>47</v>
      </c>
    </row>
    <row r="26" spans="1:16">
      <c r="A26" t="s">
        <v>215</v>
      </c>
      <c r="D26" t="s">
        <v>216</v>
      </c>
      <c r="G26">
        <v>3</v>
      </c>
      <c r="J26">
        <v>4</v>
      </c>
      <c r="M26">
        <v>12</v>
      </c>
      <c r="P26" s="7" t="s">
        <v>47</v>
      </c>
    </row>
    <row r="29" spans="1:16">
      <c r="A29" t="s">
        <v>223</v>
      </c>
      <c r="D29" t="s">
        <v>224</v>
      </c>
      <c r="G29">
        <v>3</v>
      </c>
      <c r="J29">
        <v>4</v>
      </c>
      <c r="M29">
        <v>12</v>
      </c>
      <c r="P29" s="7" t="s">
        <v>47</v>
      </c>
    </row>
    <row r="32" spans="1:16">
      <c r="A32" t="s">
        <v>230</v>
      </c>
      <c r="D32" t="s">
        <v>231</v>
      </c>
      <c r="G32">
        <v>2</v>
      </c>
      <c r="J32">
        <v>5</v>
      </c>
      <c r="M32">
        <v>10</v>
      </c>
      <c r="P32" s="1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F9A-13D2-F248-8E04-5B6978E4474E}">
  <dimension ref="A1:Y16"/>
  <sheetViews>
    <sheetView workbookViewId="0">
      <selection activeCell="G30" sqref="G30"/>
    </sheetView>
  </sheetViews>
  <sheetFormatPr baseColWidth="10" defaultRowHeight="15"/>
  <cols>
    <col min="1" max="1" width="11.83203125" customWidth="1"/>
    <col min="2" max="2" width="23.6640625" customWidth="1"/>
    <col min="3" max="3" width="45.1640625" customWidth="1"/>
    <col min="4" max="4" width="49.33203125" customWidth="1"/>
    <col min="5" max="5" width="50" customWidth="1"/>
    <col min="7" max="7" width="60.6640625" customWidth="1"/>
    <col min="8" max="8" width="30" customWidth="1"/>
  </cols>
  <sheetData>
    <row r="1" spans="1:25">
      <c r="A1" s="18" t="s">
        <v>238</v>
      </c>
      <c r="B1" s="18" t="s">
        <v>239</v>
      </c>
      <c r="C1" s="18" t="s">
        <v>240</v>
      </c>
      <c r="D1" s="18" t="s">
        <v>241</v>
      </c>
      <c r="E1" s="18" t="s">
        <v>242</v>
      </c>
      <c r="F1" s="18" t="s">
        <v>243</v>
      </c>
      <c r="G1" s="18" t="s">
        <v>244</v>
      </c>
      <c r="H1" s="18" t="s">
        <v>24</v>
      </c>
      <c r="I1" s="14" t="s">
        <v>245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15" t="s">
        <v>60</v>
      </c>
      <c r="G2" s="9" t="s">
        <v>251</v>
      </c>
      <c r="H2" s="9" t="s">
        <v>43</v>
      </c>
      <c r="I2" s="9" t="s">
        <v>252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4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16" t="s">
        <v>47</v>
      </c>
      <c r="G3" s="9" t="s">
        <v>258</v>
      </c>
      <c r="H3" s="9" t="s">
        <v>259</v>
      </c>
      <c r="I3" s="9" t="s">
        <v>260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4" t="s">
        <v>261</v>
      </c>
      <c r="B4" s="9" t="s">
        <v>262</v>
      </c>
      <c r="C4" s="9" t="s">
        <v>263</v>
      </c>
      <c r="D4" s="9" t="s">
        <v>264</v>
      </c>
      <c r="E4" s="9" t="s">
        <v>265</v>
      </c>
      <c r="F4" s="16" t="s">
        <v>47</v>
      </c>
      <c r="G4" s="9" t="s">
        <v>266</v>
      </c>
      <c r="H4" s="9" t="s">
        <v>267</v>
      </c>
      <c r="I4" s="9" t="s">
        <v>268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14" t="s">
        <v>269</v>
      </c>
      <c r="B5" s="9" t="s">
        <v>270</v>
      </c>
      <c r="C5" s="9" t="s">
        <v>271</v>
      </c>
      <c r="D5" s="9" t="s">
        <v>272</v>
      </c>
      <c r="E5" s="9" t="s">
        <v>273</v>
      </c>
      <c r="F5" s="16" t="s">
        <v>47</v>
      </c>
      <c r="G5" s="9" t="s">
        <v>274</v>
      </c>
      <c r="H5" s="9" t="s">
        <v>43</v>
      </c>
      <c r="I5" s="9" t="s">
        <v>252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14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16" t="s">
        <v>47</v>
      </c>
      <c r="G6" s="9" t="s">
        <v>280</v>
      </c>
      <c r="H6" s="9" t="s">
        <v>43</v>
      </c>
      <c r="I6" s="9" t="s">
        <v>268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14" t="s">
        <v>281</v>
      </c>
      <c r="B7" s="9" t="s">
        <v>282</v>
      </c>
      <c r="C7" s="9" t="s">
        <v>283</v>
      </c>
      <c r="D7" s="9" t="s">
        <v>284</v>
      </c>
      <c r="E7" s="9" t="s">
        <v>285</v>
      </c>
      <c r="F7" s="15" t="s">
        <v>60</v>
      </c>
      <c r="G7" s="9" t="s">
        <v>286</v>
      </c>
      <c r="H7" s="9" t="s">
        <v>43</v>
      </c>
      <c r="I7" s="9" t="s">
        <v>287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14" t="s">
        <v>288</v>
      </c>
      <c r="B8" s="9" t="s">
        <v>289</v>
      </c>
      <c r="C8" s="9" t="s">
        <v>290</v>
      </c>
      <c r="D8" s="9" t="s">
        <v>291</v>
      </c>
      <c r="E8" s="9" t="s">
        <v>292</v>
      </c>
      <c r="F8" s="15" t="s">
        <v>60</v>
      </c>
      <c r="G8" s="9" t="s">
        <v>293</v>
      </c>
      <c r="H8" s="9" t="s">
        <v>43</v>
      </c>
      <c r="I8" s="9" t="s">
        <v>287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14" t="s">
        <v>294</v>
      </c>
      <c r="B9" s="9" t="s">
        <v>295</v>
      </c>
      <c r="C9" s="9" t="s">
        <v>296</v>
      </c>
      <c r="D9" s="9" t="s">
        <v>297</v>
      </c>
      <c r="E9" s="9" t="s">
        <v>298</v>
      </c>
      <c r="F9" s="16" t="s">
        <v>47</v>
      </c>
      <c r="G9" s="9" t="s">
        <v>299</v>
      </c>
      <c r="H9" s="9" t="s">
        <v>43</v>
      </c>
      <c r="I9" s="9" t="s">
        <v>300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14" t="s">
        <v>301</v>
      </c>
      <c r="B10" s="9" t="s">
        <v>302</v>
      </c>
      <c r="C10" s="9" t="s">
        <v>303</v>
      </c>
      <c r="D10" s="9" t="s">
        <v>304</v>
      </c>
      <c r="E10" s="9" t="s">
        <v>305</v>
      </c>
      <c r="F10" s="16" t="s">
        <v>47</v>
      </c>
      <c r="G10" s="9" t="s">
        <v>306</v>
      </c>
      <c r="H10" s="9" t="s">
        <v>259</v>
      </c>
      <c r="I10" s="9" t="s">
        <v>252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4" t="s">
        <v>307</v>
      </c>
      <c r="B11" s="9" t="s">
        <v>308</v>
      </c>
      <c r="C11" s="9" t="s">
        <v>309</v>
      </c>
      <c r="D11" s="9" t="s">
        <v>310</v>
      </c>
      <c r="E11" s="9" t="s">
        <v>311</v>
      </c>
      <c r="F11" s="16" t="s">
        <v>47</v>
      </c>
      <c r="G11" s="9" t="s">
        <v>312</v>
      </c>
      <c r="H11" s="9" t="s">
        <v>313</v>
      </c>
      <c r="I11" s="9" t="s">
        <v>260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14" t="s">
        <v>314</v>
      </c>
      <c r="B12" s="9" t="s">
        <v>315</v>
      </c>
      <c r="C12" s="9" t="s">
        <v>316</v>
      </c>
      <c r="D12" s="9" t="s">
        <v>317</v>
      </c>
      <c r="E12" s="9" t="s">
        <v>318</v>
      </c>
      <c r="F12" s="16" t="s">
        <v>47</v>
      </c>
      <c r="G12" s="9" t="s">
        <v>319</v>
      </c>
      <c r="H12" s="9" t="s">
        <v>313</v>
      </c>
      <c r="I12" s="9" t="s">
        <v>300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14" t="s">
        <v>320</v>
      </c>
      <c r="B13" s="9" t="s">
        <v>321</v>
      </c>
      <c r="C13" s="9" t="s">
        <v>322</v>
      </c>
      <c r="D13" s="9" t="s">
        <v>323</v>
      </c>
      <c r="E13" s="9" t="s">
        <v>324</v>
      </c>
      <c r="F13" s="17" t="s">
        <v>46</v>
      </c>
      <c r="G13" s="9" t="s">
        <v>325</v>
      </c>
      <c r="H13" s="9" t="s">
        <v>128</v>
      </c>
      <c r="I13" s="9" t="s">
        <v>268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14" t="s">
        <v>326</v>
      </c>
      <c r="B14" s="9" t="s">
        <v>327</v>
      </c>
      <c r="C14" s="9" t="s">
        <v>328</v>
      </c>
      <c r="D14" s="9" t="s">
        <v>329</v>
      </c>
      <c r="E14" s="9" t="s">
        <v>330</v>
      </c>
      <c r="F14" s="17" t="s">
        <v>46</v>
      </c>
      <c r="G14" s="9" t="s">
        <v>331</v>
      </c>
      <c r="H14" s="9" t="s">
        <v>43</v>
      </c>
      <c r="I14" s="9" t="s">
        <v>268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14" t="s">
        <v>332</v>
      </c>
      <c r="B15" s="9" t="s">
        <v>333</v>
      </c>
      <c r="C15" s="9" t="s">
        <v>334</v>
      </c>
      <c r="D15" s="9" t="s">
        <v>335</v>
      </c>
      <c r="E15" s="9" t="s">
        <v>336</v>
      </c>
      <c r="F15" s="15" t="s">
        <v>60</v>
      </c>
      <c r="G15" s="9" t="s">
        <v>337</v>
      </c>
      <c r="H15" s="9" t="s">
        <v>338</v>
      </c>
      <c r="I15" s="9" t="s">
        <v>260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14" t="s">
        <v>339</v>
      </c>
      <c r="B16" s="9" t="s">
        <v>340</v>
      </c>
      <c r="C16" s="9" t="s">
        <v>341</v>
      </c>
      <c r="D16" s="9" t="s">
        <v>342</v>
      </c>
      <c r="E16" s="9" t="s">
        <v>343</v>
      </c>
      <c r="F16" s="16" t="s">
        <v>47</v>
      </c>
      <c r="G16" s="9" t="s">
        <v>344</v>
      </c>
      <c r="H16" s="9" t="s">
        <v>43</v>
      </c>
      <c r="I16" s="9" t="s">
        <v>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EFF-3BAD-A54F-B20F-1062BAE602E7}">
  <dimension ref="A1:I14"/>
  <sheetViews>
    <sheetView workbookViewId="0">
      <selection activeCell="E14" sqref="E14"/>
    </sheetView>
  </sheetViews>
  <sheetFormatPr baseColWidth="10" defaultRowHeight="15"/>
  <cols>
    <col min="2" max="2" width="49.83203125" customWidth="1"/>
    <col min="3" max="3" width="75.83203125" customWidth="1"/>
    <col min="4" max="4" width="66.6640625" customWidth="1"/>
    <col min="5" max="5" width="18.83203125" customWidth="1"/>
    <col min="8" max="8" width="22.33203125" customWidth="1"/>
  </cols>
  <sheetData>
    <row r="1" spans="1:9">
      <c r="A1" s="14" t="s">
        <v>238</v>
      </c>
      <c r="B1" s="14" t="s">
        <v>345</v>
      </c>
      <c r="C1" s="14" t="s">
        <v>346</v>
      </c>
      <c r="D1" s="14" t="s">
        <v>347</v>
      </c>
      <c r="E1" s="14" t="s">
        <v>348</v>
      </c>
      <c r="F1" s="14" t="s">
        <v>243</v>
      </c>
      <c r="G1" s="14" t="s">
        <v>245</v>
      </c>
      <c r="H1" s="14" t="s">
        <v>24</v>
      </c>
      <c r="I1" s="14" t="s">
        <v>349</v>
      </c>
    </row>
    <row r="2" spans="1:9">
      <c r="A2" s="9" t="s">
        <v>350</v>
      </c>
      <c r="B2" s="9" t="s">
        <v>351</v>
      </c>
      <c r="C2" s="9" t="s">
        <v>352</v>
      </c>
      <c r="D2" s="9" t="s">
        <v>353</v>
      </c>
      <c r="E2" s="20">
        <v>3000</v>
      </c>
      <c r="F2" s="15" t="s">
        <v>60</v>
      </c>
      <c r="G2" s="9" t="s">
        <v>252</v>
      </c>
      <c r="H2" s="9" t="s">
        <v>43</v>
      </c>
      <c r="I2" s="9" t="s">
        <v>354</v>
      </c>
    </row>
    <row r="3" spans="1:9">
      <c r="A3" s="9" t="s">
        <v>355</v>
      </c>
      <c r="B3" s="9" t="s">
        <v>356</v>
      </c>
      <c r="C3" s="9" t="s">
        <v>357</v>
      </c>
      <c r="D3" s="9" t="s">
        <v>358</v>
      </c>
      <c r="E3" s="20">
        <v>1500</v>
      </c>
      <c r="F3" s="21" t="s">
        <v>47</v>
      </c>
      <c r="G3" s="9" t="s">
        <v>260</v>
      </c>
      <c r="H3" s="9" t="s">
        <v>259</v>
      </c>
      <c r="I3" s="9" t="s">
        <v>181</v>
      </c>
    </row>
    <row r="4" spans="1:9">
      <c r="A4" s="9" t="s">
        <v>359</v>
      </c>
      <c r="B4" s="9" t="s">
        <v>360</v>
      </c>
      <c r="C4" s="9" t="s">
        <v>361</v>
      </c>
      <c r="D4" s="9" t="s">
        <v>362</v>
      </c>
      <c r="E4" s="20">
        <v>2000</v>
      </c>
      <c r="F4" s="21" t="s">
        <v>47</v>
      </c>
      <c r="G4" s="9" t="s">
        <v>268</v>
      </c>
      <c r="H4" s="9" t="s">
        <v>267</v>
      </c>
      <c r="I4" s="9" t="s">
        <v>363</v>
      </c>
    </row>
    <row r="5" spans="1:9">
      <c r="A5" s="9" t="s">
        <v>364</v>
      </c>
      <c r="B5" s="9" t="s">
        <v>365</v>
      </c>
      <c r="C5" s="9" t="s">
        <v>366</v>
      </c>
      <c r="D5" s="9" t="s">
        <v>367</v>
      </c>
      <c r="E5" s="20">
        <v>3000</v>
      </c>
      <c r="F5" s="21" t="s">
        <v>47</v>
      </c>
      <c r="G5" s="9" t="s">
        <v>252</v>
      </c>
      <c r="H5" s="9" t="s">
        <v>43</v>
      </c>
      <c r="I5" s="9" t="s">
        <v>368</v>
      </c>
    </row>
    <row r="6" spans="1:9">
      <c r="A6" s="9" t="s">
        <v>369</v>
      </c>
      <c r="B6" s="9" t="s">
        <v>370</v>
      </c>
      <c r="C6" s="9" t="s">
        <v>371</v>
      </c>
      <c r="D6" s="9" t="s">
        <v>372</v>
      </c>
      <c r="E6" s="20">
        <v>6000</v>
      </c>
      <c r="F6" s="21" t="s">
        <v>47</v>
      </c>
      <c r="G6" s="9" t="s">
        <v>268</v>
      </c>
      <c r="H6" s="9" t="s">
        <v>43</v>
      </c>
      <c r="I6" s="9" t="s">
        <v>373</v>
      </c>
    </row>
    <row r="7" spans="1:9">
      <c r="A7" s="9" t="s">
        <v>374</v>
      </c>
      <c r="B7" s="9" t="s">
        <v>375</v>
      </c>
      <c r="C7" s="9" t="s">
        <v>376</v>
      </c>
      <c r="D7" s="9" t="s">
        <v>286</v>
      </c>
      <c r="E7" s="20">
        <v>1000</v>
      </c>
      <c r="F7" s="15" t="s">
        <v>60</v>
      </c>
      <c r="G7" s="9" t="s">
        <v>287</v>
      </c>
      <c r="H7" s="9" t="s">
        <v>43</v>
      </c>
      <c r="I7" s="9" t="s">
        <v>377</v>
      </c>
    </row>
    <row r="8" spans="1:9">
      <c r="A8" s="9" t="s">
        <v>378</v>
      </c>
      <c r="B8" s="9" t="s">
        <v>379</v>
      </c>
      <c r="C8" s="9" t="s">
        <v>380</v>
      </c>
      <c r="D8" s="9" t="s">
        <v>293</v>
      </c>
      <c r="E8" s="20">
        <v>4000</v>
      </c>
      <c r="F8" s="15" t="s">
        <v>60</v>
      </c>
      <c r="G8" s="9" t="s">
        <v>287</v>
      </c>
      <c r="H8" s="9" t="s">
        <v>43</v>
      </c>
      <c r="I8" s="9" t="s">
        <v>381</v>
      </c>
    </row>
    <row r="9" spans="1:9">
      <c r="A9" s="9" t="s">
        <v>382</v>
      </c>
      <c r="B9" s="9" t="s">
        <v>383</v>
      </c>
      <c r="C9" s="9" t="s">
        <v>384</v>
      </c>
      <c r="D9" s="9" t="s">
        <v>385</v>
      </c>
      <c r="E9" s="20">
        <v>5000</v>
      </c>
      <c r="F9" s="21" t="s">
        <v>47</v>
      </c>
      <c r="G9" s="9" t="s">
        <v>300</v>
      </c>
      <c r="H9" s="9" t="s">
        <v>43</v>
      </c>
      <c r="I9" s="9" t="s">
        <v>208</v>
      </c>
    </row>
    <row r="10" spans="1:9">
      <c r="A10" s="9" t="s">
        <v>386</v>
      </c>
      <c r="B10" s="9" t="s">
        <v>387</v>
      </c>
      <c r="C10" s="9" t="s">
        <v>388</v>
      </c>
      <c r="D10" s="9" t="s">
        <v>312</v>
      </c>
      <c r="E10" s="20">
        <v>500</v>
      </c>
      <c r="F10" s="21" t="s">
        <v>47</v>
      </c>
      <c r="G10" s="9" t="s">
        <v>260</v>
      </c>
      <c r="H10" s="9" t="s">
        <v>313</v>
      </c>
      <c r="I10" s="9" t="s">
        <v>216</v>
      </c>
    </row>
    <row r="11" spans="1:9">
      <c r="A11" s="9" t="s">
        <v>389</v>
      </c>
      <c r="B11" s="9" t="s">
        <v>390</v>
      </c>
      <c r="C11" s="9" t="s">
        <v>391</v>
      </c>
      <c r="D11" s="9" t="s">
        <v>392</v>
      </c>
      <c r="E11" s="20">
        <v>1500</v>
      </c>
      <c r="F11" s="21" t="s">
        <v>47</v>
      </c>
      <c r="G11" s="9" t="s">
        <v>300</v>
      </c>
      <c r="H11" s="9" t="s">
        <v>313</v>
      </c>
      <c r="I11" s="9" t="s">
        <v>216</v>
      </c>
    </row>
    <row r="12" spans="1:9">
      <c r="A12" s="9" t="s">
        <v>393</v>
      </c>
      <c r="B12" s="9" t="s">
        <v>322</v>
      </c>
      <c r="C12" s="9" t="s">
        <v>394</v>
      </c>
      <c r="D12" s="9" t="s">
        <v>395</v>
      </c>
      <c r="E12" s="20">
        <v>500</v>
      </c>
      <c r="F12" s="22" t="s">
        <v>46</v>
      </c>
      <c r="G12" s="9" t="s">
        <v>268</v>
      </c>
      <c r="H12" s="9" t="s">
        <v>128</v>
      </c>
      <c r="I12" s="9" t="s">
        <v>396</v>
      </c>
    </row>
    <row r="13" spans="1:9">
      <c r="A13" s="9" t="s">
        <v>397</v>
      </c>
      <c r="B13" s="9" t="s">
        <v>398</v>
      </c>
      <c r="C13" s="9" t="s">
        <v>399</v>
      </c>
      <c r="D13" s="9" t="s">
        <v>400</v>
      </c>
      <c r="E13" s="20">
        <v>1500</v>
      </c>
      <c r="F13" s="15" t="s">
        <v>60</v>
      </c>
      <c r="G13" s="9" t="s">
        <v>260</v>
      </c>
      <c r="H13" s="9" t="s">
        <v>401</v>
      </c>
      <c r="I13" s="9" t="s">
        <v>402</v>
      </c>
    </row>
    <row r="14" spans="1:9">
      <c r="D14" s="23" t="s">
        <v>403</v>
      </c>
      <c r="E14" s="19">
        <f>SUM(E2:E13)</f>
        <v>29500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0344-13F3-7D44-8FDF-F3F4EEB865C5}">
  <dimension ref="A1:P22"/>
  <sheetViews>
    <sheetView workbookViewId="0">
      <selection activeCell="D30" sqref="D30"/>
    </sheetView>
  </sheetViews>
  <sheetFormatPr baseColWidth="10" defaultRowHeight="15"/>
  <cols>
    <col min="1" max="1" width="25.33203125" customWidth="1"/>
    <col min="2" max="2" width="46.83203125" customWidth="1"/>
    <col min="3" max="3" width="29.33203125" customWidth="1"/>
    <col min="4" max="4" width="37.33203125" customWidth="1"/>
    <col min="10" max="10" width="22.6640625" customWidth="1"/>
  </cols>
  <sheetData>
    <row r="1" spans="1:16">
      <c r="A1" s="14" t="s">
        <v>404</v>
      </c>
      <c r="B1" s="14" t="s">
        <v>405</v>
      </c>
      <c r="C1" s="14" t="s">
        <v>406</v>
      </c>
      <c r="D1" s="14" t="s">
        <v>24</v>
      </c>
      <c r="E1" s="14" t="s">
        <v>243</v>
      </c>
      <c r="F1" s="14" t="s">
        <v>407</v>
      </c>
      <c r="G1" s="14" t="s">
        <v>408</v>
      </c>
      <c r="H1" s="14" t="s">
        <v>37</v>
      </c>
      <c r="I1" s="14" t="s">
        <v>409</v>
      </c>
      <c r="J1" s="14" t="s">
        <v>436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</row>
    <row r="2" spans="1:16">
      <c r="A2" s="9" t="s">
        <v>410</v>
      </c>
      <c r="B2" s="9" t="s">
        <v>411</v>
      </c>
      <c r="C2" s="9" t="s">
        <v>355</v>
      </c>
      <c r="D2" s="9" t="s">
        <v>259</v>
      </c>
      <c r="E2" s="9" t="s">
        <v>47</v>
      </c>
      <c r="F2" s="9" t="s">
        <v>260</v>
      </c>
      <c r="G2" s="9" t="s">
        <v>260</v>
      </c>
      <c r="H2" s="20">
        <v>1500</v>
      </c>
      <c r="I2" s="9" t="s">
        <v>412</v>
      </c>
      <c r="K2" s="9" t="s">
        <v>260</v>
      </c>
      <c r="L2" s="9" t="s">
        <v>252</v>
      </c>
      <c r="M2" s="9" t="s">
        <v>268</v>
      </c>
      <c r="N2" s="9" t="s">
        <v>300</v>
      </c>
      <c r="O2" s="9" t="s">
        <v>287</v>
      </c>
      <c r="P2" s="9" t="s">
        <v>435</v>
      </c>
    </row>
    <row r="3" spans="1:16">
      <c r="A3" s="9" t="s">
        <v>413</v>
      </c>
      <c r="B3" s="9" t="s">
        <v>414</v>
      </c>
      <c r="C3" s="9" t="s">
        <v>397</v>
      </c>
      <c r="D3" s="9" t="s">
        <v>401</v>
      </c>
      <c r="E3" s="9" t="s">
        <v>60</v>
      </c>
      <c r="F3" s="9" t="s">
        <v>260</v>
      </c>
      <c r="G3" s="9" t="s">
        <v>260</v>
      </c>
      <c r="H3" s="20">
        <v>1500</v>
      </c>
      <c r="I3" s="9" t="s">
        <v>412</v>
      </c>
      <c r="J3" t="s">
        <v>437</v>
      </c>
      <c r="K3" s="24"/>
    </row>
    <row r="4" spans="1:16">
      <c r="A4" s="9" t="s">
        <v>415</v>
      </c>
      <c r="B4" s="9" t="s">
        <v>312</v>
      </c>
      <c r="C4" s="9" t="s">
        <v>386</v>
      </c>
      <c r="D4" s="9" t="s">
        <v>313</v>
      </c>
      <c r="E4" s="9" t="s">
        <v>47</v>
      </c>
      <c r="F4" s="9" t="s">
        <v>260</v>
      </c>
      <c r="G4" s="9" t="s">
        <v>260</v>
      </c>
      <c r="H4" s="20">
        <v>500</v>
      </c>
      <c r="I4" s="9" t="s">
        <v>412</v>
      </c>
      <c r="J4" t="s">
        <v>438</v>
      </c>
      <c r="K4" s="24"/>
    </row>
    <row r="5" spans="1:16">
      <c r="A5" s="9" t="s">
        <v>416</v>
      </c>
      <c r="B5" s="9" t="s">
        <v>417</v>
      </c>
      <c r="C5" s="9" t="s">
        <v>350</v>
      </c>
      <c r="D5" s="9" t="s">
        <v>43</v>
      </c>
      <c r="E5" s="9" t="s">
        <v>60</v>
      </c>
      <c r="F5" s="9" t="s">
        <v>252</v>
      </c>
      <c r="G5" s="9" t="s">
        <v>252</v>
      </c>
      <c r="H5" s="20">
        <v>3000</v>
      </c>
      <c r="I5" s="9" t="s">
        <v>412</v>
      </c>
      <c r="J5" t="s">
        <v>439</v>
      </c>
      <c r="K5" s="24"/>
    </row>
    <row r="6" spans="1:16">
      <c r="A6" s="9" t="s">
        <v>418</v>
      </c>
      <c r="B6" s="9" t="s">
        <v>419</v>
      </c>
      <c r="C6" s="9" t="s">
        <v>364</v>
      </c>
      <c r="D6" s="9" t="s">
        <v>43</v>
      </c>
      <c r="E6" s="9" t="s">
        <v>47</v>
      </c>
      <c r="F6" s="9" t="s">
        <v>252</v>
      </c>
      <c r="G6" s="9" t="s">
        <v>252</v>
      </c>
      <c r="H6" s="20">
        <v>3000</v>
      </c>
      <c r="I6" s="9" t="s">
        <v>412</v>
      </c>
      <c r="J6" t="s">
        <v>440</v>
      </c>
      <c r="L6" s="24"/>
    </row>
    <row r="7" spans="1:16">
      <c r="A7" s="9" t="s">
        <v>420</v>
      </c>
      <c r="B7" s="9" t="s">
        <v>421</v>
      </c>
      <c r="C7" s="9" t="s">
        <v>359</v>
      </c>
      <c r="D7" s="9" t="s">
        <v>267</v>
      </c>
      <c r="E7" s="9" t="s">
        <v>47</v>
      </c>
      <c r="F7" s="9" t="s">
        <v>268</v>
      </c>
      <c r="G7" s="9" t="s">
        <v>268</v>
      </c>
      <c r="H7" s="20">
        <v>2000</v>
      </c>
      <c r="I7" s="9" t="s">
        <v>412</v>
      </c>
      <c r="J7" t="s">
        <v>441</v>
      </c>
      <c r="L7" s="24"/>
    </row>
    <row r="8" spans="1:16">
      <c r="A8" s="9" t="s">
        <v>422</v>
      </c>
      <c r="B8" s="9" t="s">
        <v>423</v>
      </c>
      <c r="C8" s="9" t="s">
        <v>369</v>
      </c>
      <c r="D8" s="9" t="s">
        <v>43</v>
      </c>
      <c r="E8" s="9" t="s">
        <v>47</v>
      </c>
      <c r="F8" s="9" t="s">
        <v>268</v>
      </c>
      <c r="G8" s="9" t="s">
        <v>300</v>
      </c>
      <c r="H8" s="20">
        <v>6000</v>
      </c>
      <c r="I8" s="9" t="s">
        <v>412</v>
      </c>
      <c r="J8" t="s">
        <v>442</v>
      </c>
      <c r="M8" s="24"/>
    </row>
    <row r="9" spans="1:16">
      <c r="A9" s="9" t="s">
        <v>424</v>
      </c>
      <c r="B9" s="9" t="s">
        <v>425</v>
      </c>
      <c r="C9" s="9" t="s">
        <v>393</v>
      </c>
      <c r="D9" s="9" t="s">
        <v>128</v>
      </c>
      <c r="E9" s="9" t="s">
        <v>46</v>
      </c>
      <c r="F9" s="9" t="s">
        <v>268</v>
      </c>
      <c r="G9" s="9" t="s">
        <v>268</v>
      </c>
      <c r="H9" s="20">
        <v>500</v>
      </c>
      <c r="I9" s="9" t="s">
        <v>412</v>
      </c>
      <c r="J9" t="s">
        <v>276</v>
      </c>
      <c r="M9" s="24"/>
      <c r="N9" s="24"/>
    </row>
    <row r="10" spans="1:16">
      <c r="A10" s="9" t="s">
        <v>426</v>
      </c>
      <c r="B10" s="9" t="s">
        <v>427</v>
      </c>
      <c r="C10" s="9" t="s">
        <v>382</v>
      </c>
      <c r="D10" s="9" t="s">
        <v>43</v>
      </c>
      <c r="E10" s="9" t="s">
        <v>47</v>
      </c>
      <c r="F10" s="9" t="s">
        <v>300</v>
      </c>
      <c r="G10" s="9" t="s">
        <v>300</v>
      </c>
      <c r="H10" s="20">
        <v>5000</v>
      </c>
      <c r="I10" s="9" t="s">
        <v>412</v>
      </c>
      <c r="J10" t="s">
        <v>443</v>
      </c>
      <c r="M10" s="24"/>
    </row>
    <row r="11" spans="1:16">
      <c r="A11" s="9" t="s">
        <v>428</v>
      </c>
      <c r="B11" s="9" t="s">
        <v>319</v>
      </c>
      <c r="C11" s="9" t="s">
        <v>389</v>
      </c>
      <c r="D11" s="9" t="s">
        <v>313</v>
      </c>
      <c r="E11" s="9" t="s">
        <v>47</v>
      </c>
      <c r="F11" s="9" t="s">
        <v>300</v>
      </c>
      <c r="G11" s="9" t="s">
        <v>300</v>
      </c>
      <c r="H11" s="20">
        <v>1500</v>
      </c>
      <c r="I11" s="9" t="s">
        <v>412</v>
      </c>
      <c r="J11" t="s">
        <v>295</v>
      </c>
      <c r="N11" s="24"/>
    </row>
    <row r="12" spans="1:16">
      <c r="A12" s="9" t="s">
        <v>429</v>
      </c>
      <c r="B12" s="9" t="s">
        <v>430</v>
      </c>
      <c r="C12" s="9" t="s">
        <v>431</v>
      </c>
      <c r="D12" s="9" t="s">
        <v>43</v>
      </c>
      <c r="E12" s="9" t="s">
        <v>60</v>
      </c>
      <c r="F12" s="9" t="s">
        <v>287</v>
      </c>
      <c r="G12" s="9" t="s">
        <v>287</v>
      </c>
      <c r="H12" s="20">
        <v>5000</v>
      </c>
      <c r="I12" s="9" t="s">
        <v>412</v>
      </c>
      <c r="J12" t="s">
        <v>444</v>
      </c>
      <c r="O12" s="24"/>
    </row>
    <row r="13" spans="1:16">
      <c r="A13" s="9" t="s">
        <v>432</v>
      </c>
      <c r="B13" s="9" t="s">
        <v>433</v>
      </c>
      <c r="C13" s="9" t="s">
        <v>397</v>
      </c>
      <c r="D13" s="9" t="s">
        <v>434</v>
      </c>
      <c r="E13" s="9" t="s">
        <v>60</v>
      </c>
      <c r="F13" s="9" t="s">
        <v>435</v>
      </c>
      <c r="G13" s="9" t="s">
        <v>435</v>
      </c>
      <c r="H13" s="20">
        <v>0</v>
      </c>
      <c r="I13" s="9" t="s">
        <v>412</v>
      </c>
      <c r="J13" t="s">
        <v>445</v>
      </c>
      <c r="O13" s="24"/>
    </row>
    <row r="14" spans="1:16">
      <c r="J14" t="s">
        <v>446</v>
      </c>
      <c r="P14" s="24"/>
    </row>
    <row r="16" spans="1:16" ht="18">
      <c r="A16" s="25" t="s">
        <v>447</v>
      </c>
    </row>
    <row r="17" spans="1:2">
      <c r="A17" s="14" t="s">
        <v>4</v>
      </c>
      <c r="B17" s="14" t="s">
        <v>5</v>
      </c>
    </row>
    <row r="18" spans="1:2">
      <c r="A18" s="9" t="s">
        <v>448</v>
      </c>
      <c r="B18" s="20">
        <v>30000</v>
      </c>
    </row>
    <row r="19" spans="1:2">
      <c r="A19" s="9" t="s">
        <v>449</v>
      </c>
      <c r="B19" s="20">
        <v>3000</v>
      </c>
    </row>
    <row r="20" spans="1:2">
      <c r="A20" s="9" t="s">
        <v>450</v>
      </c>
      <c r="B20" s="20">
        <v>33000</v>
      </c>
    </row>
    <row r="21" spans="1:2">
      <c r="A21" s="14" t="s">
        <v>451</v>
      </c>
    </row>
    <row r="22" spans="1:2">
      <c r="A22" t="s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954-E659-9E4A-8BEE-CE5DE42E857F}">
  <dimension ref="A1:J14"/>
  <sheetViews>
    <sheetView workbookViewId="0">
      <selection activeCell="B11" sqref="B11"/>
    </sheetView>
  </sheetViews>
  <sheetFormatPr baseColWidth="10" defaultRowHeight="15"/>
  <cols>
    <col min="1" max="1" width="46" customWidth="1"/>
    <col min="3" max="3" width="13.6640625" customWidth="1"/>
    <col min="5" max="5" width="20.83203125" customWidth="1"/>
    <col min="7" max="7" width="23.83203125" customWidth="1"/>
    <col min="9" max="9" width="15.33203125" customWidth="1"/>
  </cols>
  <sheetData>
    <row r="1" spans="1:10" ht="18">
      <c r="A1" s="27" t="s">
        <v>453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>
      <c r="A2" s="28" t="s">
        <v>454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9" customHeight="1">
      <c r="D3" s="26">
        <v>46204</v>
      </c>
    </row>
    <row r="5" spans="1:10">
      <c r="A5" s="33" t="s">
        <v>455</v>
      </c>
      <c r="B5" s="34"/>
      <c r="C5" s="35" t="s">
        <v>457</v>
      </c>
      <c r="D5" s="34"/>
      <c r="E5" s="35" t="s">
        <v>461</v>
      </c>
      <c r="F5" s="34"/>
      <c r="G5" s="35" t="s">
        <v>462</v>
      </c>
      <c r="H5" s="34"/>
      <c r="I5" s="35" t="s">
        <v>463</v>
      </c>
    </row>
    <row r="6" spans="1:10">
      <c r="A6" s="29">
        <v>13</v>
      </c>
      <c r="C6" s="30">
        <v>10</v>
      </c>
      <c r="E6" s="30">
        <v>6</v>
      </c>
      <c r="G6" s="31">
        <v>33000</v>
      </c>
      <c r="I6" s="32">
        <v>0</v>
      </c>
    </row>
    <row r="7" spans="1:10">
      <c r="A7" s="29" t="s">
        <v>456</v>
      </c>
      <c r="C7" s="30" t="s">
        <v>458</v>
      </c>
      <c r="E7" s="30" t="s">
        <v>459</v>
      </c>
      <c r="G7" s="30" t="s">
        <v>460</v>
      </c>
      <c r="I7" s="30" t="s">
        <v>464</v>
      </c>
    </row>
    <row r="10" spans="1:10">
      <c r="A10" t="s">
        <v>465</v>
      </c>
      <c r="B10" t="s">
        <v>466</v>
      </c>
    </row>
    <row r="11" spans="1:10">
      <c r="A11" t="s">
        <v>60</v>
      </c>
      <c r="B11">
        <v>10</v>
      </c>
    </row>
    <row r="12" spans="1:10">
      <c r="A12" t="s">
        <v>47</v>
      </c>
    </row>
    <row r="13" spans="1:10">
      <c r="A13" t="s">
        <v>46</v>
      </c>
    </row>
    <row r="14" spans="1:10">
      <c r="A14" t="s">
        <v>233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Register</vt:lpstr>
      <vt:lpstr>Asset Summary</vt:lpstr>
      <vt:lpstr>Threat Model</vt:lpstr>
      <vt:lpstr>Risk Matrix</vt:lpstr>
      <vt:lpstr>Gap Analysis</vt:lpstr>
      <vt:lpstr>Recommendations</vt:lpstr>
      <vt:lpstr>Implementation Roadmap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2026-08-16T08:22:43Z</dcterms:modified>
  <cp:category/>
  <cp:contentStatus/>
</cp:coreProperties>
</file>