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nukimunasinghe/workspace/Internship/"/>
    </mc:Choice>
  </mc:AlternateContent>
  <xr:revisionPtr revIDLastSave="0" documentId="8_{0BC0EA60-D24A-4F4D-A64F-B5043C186AFA}" xr6:coauthVersionLast="47" xr6:coauthVersionMax="47" xr10:uidLastSave="{00000000-0000-0000-0000-000000000000}"/>
  <bookViews>
    <workbookView xWindow="0" yWindow="760" windowWidth="34200" windowHeight="21380" activeTab="6" xr2:uid="{00000000-000D-0000-FFFF-FFFF00000000}"/>
  </bookViews>
  <sheets>
    <sheet name="Asset Register" sheetId="1" r:id="rId1"/>
    <sheet name="Asset Summary" sheetId="2" r:id="rId2"/>
    <sheet name="Threat Model" sheetId="3" r:id="rId3"/>
    <sheet name="Risk Matrix" sheetId="8" r:id="rId4"/>
    <sheet name="Gap Analysis" sheetId="4" r:id="rId5"/>
    <sheet name="Recommendations" sheetId="5" r:id="rId6"/>
    <sheet name="Implementation Roadmap" sheetId="6" r:id="rId7"/>
    <sheet name="Dashboard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" i="5" l="1"/>
</calcChain>
</file>

<file path=xl/sharedStrings.xml><?xml version="1.0" encoding="utf-8"?>
<sst xmlns="http://schemas.openxmlformats.org/spreadsheetml/2006/main" count="811" uniqueCount="469">
  <si>
    <t>Emerald Financial Solutions Ltd</t>
  </si>
  <si>
    <t>Cybersecurity Risk Assessment - Asset Register</t>
  </si>
  <si>
    <t>Prepared By: Thenuki Munasinghe</t>
  </si>
  <si>
    <t>Date: July 2026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</si>
  <si>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</si>
  <si>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</si>
  <si>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</si>
  <si>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</si>
  <si>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</si>
  <si>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</si>
  <si>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</si>
  <si>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</si>
  <si>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</si>
  <si>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</si>
  <si>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</si>
  <si>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</si>
  <si>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</si>
  <si>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</si>
  <si>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</si>
  <si>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</si>
  <si>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Risk If</t>
  </si>
  <si>
    <t>Notes</t>
  </si>
  <si>
    <t>Asset ID</t>
  </si>
  <si>
    <t>Asset</t>
  </si>
  <si>
    <t>Owner</t>
  </si>
  <si>
    <t>Department</t>
  </si>
  <si>
    <t>Location</t>
  </si>
  <si>
    <t>Quantity</t>
  </si>
  <si>
    <t>Value</t>
  </si>
  <si>
    <t>Criticality</t>
  </si>
  <si>
    <t>Confidentiality</t>
  </si>
  <si>
    <t>Integrity</t>
  </si>
  <si>
    <t>Availability</t>
  </si>
  <si>
    <t>Replacement</t>
  </si>
  <si>
    <t xml:space="preserve">Current </t>
  </si>
  <si>
    <t>Compromised</t>
  </si>
  <si>
    <t>Category</t>
  </si>
  <si>
    <t>Cost</t>
  </si>
  <si>
    <t>Security</t>
  </si>
  <si>
    <t>Controls</t>
  </si>
  <si>
    <t>HW-001</t>
  </si>
  <si>
    <t>Employee</t>
  </si>
  <si>
    <t>Hardware</t>
  </si>
  <si>
    <t>IT Manager</t>
  </si>
  <si>
    <t>All Department</t>
  </si>
  <si>
    <t>Staff Areas</t>
  </si>
  <si>
    <t>Medium</t>
  </si>
  <si>
    <t>High</t>
  </si>
  <si>
    <t>1300€</t>
  </si>
  <si>
    <t>-</t>
  </si>
  <si>
    <t>Laptop</t>
  </si>
  <si>
    <t>HW-002</t>
  </si>
  <si>
    <t>Desktop PCs</t>
  </si>
  <si>
    <t>Finance/IT</t>
  </si>
  <si>
    <t>1000€</t>
  </si>
  <si>
    <t>Office</t>
  </si>
  <si>
    <t>HW-003</t>
  </si>
  <si>
    <t>File Server</t>
  </si>
  <si>
    <t>IT</t>
  </si>
  <si>
    <t>Server Room</t>
  </si>
  <si>
    <t>Critical</t>
  </si>
  <si>
    <t>8000€</t>
  </si>
  <si>
    <t>HW-004</t>
  </si>
  <si>
    <t>NAS Backup</t>
  </si>
  <si>
    <t xml:space="preserve">Critical </t>
  </si>
  <si>
    <t>3000€</t>
  </si>
  <si>
    <t>Restrict</t>
  </si>
  <si>
    <t>Backup</t>
  </si>
  <si>
    <t>Disaster Recovery</t>
  </si>
  <si>
    <t>access</t>
  </si>
  <si>
    <t>Failure</t>
  </si>
  <si>
    <t>NET-001</t>
  </si>
  <si>
    <t>Firewall</t>
  </si>
  <si>
    <t>Network</t>
  </si>
  <si>
    <t>2500€</t>
  </si>
  <si>
    <t>Firewall Rules</t>
  </si>
  <si>
    <t>Perimeter Security</t>
  </si>
  <si>
    <t>NET-002</t>
  </si>
  <si>
    <t>Business Router</t>
  </si>
  <si>
    <t>Secure Configuration</t>
  </si>
  <si>
    <t>Internet</t>
  </si>
  <si>
    <t>Connects to ISP</t>
  </si>
  <si>
    <t>Disruption</t>
  </si>
  <si>
    <t>NET-003</t>
  </si>
  <si>
    <t>Managed Network</t>
  </si>
  <si>
    <t>1200€</t>
  </si>
  <si>
    <t>Internal</t>
  </si>
  <si>
    <t>Office network connectivity</t>
  </si>
  <si>
    <t>Switches</t>
  </si>
  <si>
    <t>NET-004</t>
  </si>
  <si>
    <t>Wi-Fi AP</t>
  </si>
  <si>
    <t>300€</t>
  </si>
  <si>
    <t>Secure WiFi</t>
  </si>
  <si>
    <t xml:space="preserve">Unauthorized </t>
  </si>
  <si>
    <t>Office Wireless</t>
  </si>
  <si>
    <t xml:space="preserve">Remote </t>
  </si>
  <si>
    <t>Networks</t>
  </si>
  <si>
    <t>Access</t>
  </si>
  <si>
    <t>CLD-001</t>
  </si>
  <si>
    <t>Microsoft 365</t>
  </si>
  <si>
    <t>Cloud Service</t>
  </si>
  <si>
    <t>Cloud</t>
  </si>
  <si>
    <t>5000€</t>
  </si>
  <si>
    <t>Company Accounts</t>
  </si>
  <si>
    <t>Data breach</t>
  </si>
  <si>
    <t>Email &amp; Collaboration</t>
  </si>
  <si>
    <t>password protection</t>
  </si>
  <si>
    <t>NET-005</t>
  </si>
  <si>
    <t>Company VPN</t>
  </si>
  <si>
    <t>Network Service</t>
  </si>
  <si>
    <t>2000€</t>
  </si>
  <si>
    <t>VPN authentication</t>
  </si>
  <si>
    <t>Unauthorized Access</t>
  </si>
  <si>
    <t>Supports Hybrid Working</t>
  </si>
  <si>
    <t>DAT-001</t>
  </si>
  <si>
    <t>Customer Financial</t>
  </si>
  <si>
    <t>Information</t>
  </si>
  <si>
    <t>Compliance Manager</t>
  </si>
  <si>
    <t xml:space="preserve">Finance </t>
  </si>
  <si>
    <t>2500 Records</t>
  </si>
  <si>
    <t>Hgih</t>
  </si>
  <si>
    <t>50000€</t>
  </si>
  <si>
    <t>Restricted Access</t>
  </si>
  <si>
    <t xml:space="preserve">Most valuable </t>
  </si>
  <si>
    <t>Fraud</t>
  </si>
  <si>
    <t>Asset of Company</t>
  </si>
  <si>
    <t>DAT-002</t>
  </si>
  <si>
    <t xml:space="preserve">Employee HR </t>
  </si>
  <si>
    <t>HR Manager</t>
  </si>
  <si>
    <t>HR</t>
  </si>
  <si>
    <t>HR Office</t>
  </si>
  <si>
    <t>45 Records</t>
  </si>
  <si>
    <t>10000€</t>
  </si>
  <si>
    <t>HR Access Control</t>
  </si>
  <si>
    <t>Privacy Breach</t>
  </si>
  <si>
    <t>Confidentiality Information</t>
  </si>
  <si>
    <t>Records</t>
  </si>
  <si>
    <t>INF-001</t>
  </si>
  <si>
    <t>Company Website</t>
  </si>
  <si>
    <t>Infrastructure</t>
  </si>
  <si>
    <t>HTTPS &amp; Firewall</t>
  </si>
  <si>
    <t>Website Outage</t>
  </si>
  <si>
    <t>Public Facing Business Service</t>
  </si>
  <si>
    <t>Protection</t>
  </si>
  <si>
    <t>Metric</t>
  </si>
  <si>
    <t>Result</t>
  </si>
  <si>
    <t>Total Assets</t>
  </si>
  <si>
    <t>Hardware Assets</t>
  </si>
  <si>
    <t>Network Assets</t>
  </si>
  <si>
    <t>Cloud Services</t>
  </si>
  <si>
    <t>Information Assets</t>
  </si>
  <si>
    <t>Infrastructure Assets</t>
  </si>
  <si>
    <t>Critical Assets</t>
  </si>
  <si>
    <t>Assets By Category</t>
  </si>
  <si>
    <t>Threat-ID</t>
  </si>
  <si>
    <t>Threat</t>
  </si>
  <si>
    <t>Description</t>
  </si>
  <si>
    <t>Likelihood</t>
  </si>
  <si>
    <t>Impact</t>
  </si>
  <si>
    <t>Affected Assets</t>
  </si>
  <si>
    <t>Current Controls</t>
  </si>
  <si>
    <t>Recommended Controls</t>
  </si>
  <si>
    <t>THR-001</t>
  </si>
  <si>
    <t>Phishing Attack</t>
  </si>
  <si>
    <t>An employee receives a fraudulent</t>
  </si>
  <si>
    <t>HW-001, CLD-001, DAT-005</t>
  </si>
  <si>
    <t>Company email accounts, endpoint protection</t>
  </si>
  <si>
    <t>Implement MFA, phishing awareness training</t>
  </si>
  <si>
    <t>email designed to trick them into clicking</t>
  </si>
  <si>
    <t>and enhanced email filtering.</t>
  </si>
  <si>
    <t>THR-002</t>
  </si>
  <si>
    <t>Ransomware</t>
  </si>
  <si>
    <t>Malware encrypts company files </t>
  </si>
  <si>
    <t>HW-001, HW-003, HW-004, DAT-001, DAT-002</t>
  </si>
  <si>
    <t>Endpoint protection, firewall and NAS backups.</t>
  </si>
  <si>
    <t>Implement tested offline backups,</t>
  </si>
  <si>
    <t>and prevents employees from accessing</t>
  </si>
  <si>
    <t xml:space="preserve">stronger endpoint protection, </t>
  </si>
  <si>
    <t>protected information</t>
  </si>
  <si>
    <t>incident response procedures.</t>
  </si>
  <si>
    <t>THR-003</t>
  </si>
  <si>
    <t>Weak Passwords</t>
  </si>
  <si>
    <t>Employees use weak, reused or</t>
  </si>
  <si>
    <t>CLD-001, NET-005, HW-001</t>
  </si>
  <si>
    <t>Company accounts and password policies</t>
  </si>
  <si>
    <t>Introduce stronger password requirements, MFA</t>
  </si>
  <si>
    <t>easily guessed passwords</t>
  </si>
  <si>
    <t>THR-004</t>
  </si>
  <si>
    <t>Business Email Compromise</t>
  </si>
  <si>
    <t>An attacker gains access to an employee's email</t>
  </si>
  <si>
    <t>CLD-001, DAT-005</t>
  </si>
  <si>
    <t>Microsoft 365 accounts and password protection</t>
  </si>
  <si>
    <t>MFA, email monitoring, payment verification procedures</t>
  </si>
  <si>
    <t>account and uses it to impersonate the employee</t>
  </si>
  <si>
    <t>THR-005</t>
  </si>
  <si>
    <t>Malware Infection</t>
  </si>
  <si>
    <t>Malicious software is installed on an employee device</t>
  </si>
  <si>
    <t>HW-001, HW-002, DAT-001</t>
  </si>
  <si>
    <t>Endpoint protection and firewall.</t>
  </si>
  <si>
    <t>Improve endpoint detection, application controls and employee security awareness.</t>
  </si>
  <si>
    <t>through a malicious attachment, website or downloaded file.</t>
  </si>
  <si>
    <t>THR-006</t>
  </si>
  <si>
    <t>Laptop Theft</t>
  </si>
  <si>
    <t>A company laptop is stolen from the office</t>
  </si>
  <si>
    <t>HW-001, DAT-001</t>
  </si>
  <si>
    <t>Access controls, VPN and endpoint protection.</t>
  </si>
  <si>
    <t>Device encryption, remote wipe capability, laptop security locks</t>
  </si>
  <si>
    <t>THR-007</t>
  </si>
  <si>
    <t>Unauthorised Network Access</t>
  </si>
  <si>
    <t>An attacker gains unauthorised access to the internal</t>
  </si>
  <si>
    <t>NET-001, NET-002, NET-003, HW-001, HW-003</t>
  </si>
  <si>
    <t>Firewall, managed switches and restricted server room.</t>
  </si>
  <si>
    <t>Network segmentation, stronger access controls, network monitoring and</t>
  </si>
  <si>
    <t>network and attempts to compromise company systems.</t>
  </si>
  <si>
    <t>regular vulnerability assessments.</t>
  </si>
  <si>
    <t>THR-008</t>
  </si>
  <si>
    <t>Unauthorised Physical Access</t>
  </si>
  <si>
    <t>An unauthorised person enters staff or restricted</t>
  </si>
  <si>
    <t>HW-001, HW-003, NET-001, DAT-001</t>
  </si>
  <si>
    <t>Staff access cards, reception sign-in, CCTV and restricted server room</t>
  </si>
  <si>
    <t>Mandatory visitor escorting, quarterly access-card</t>
  </si>
  <si>
    <t>areas and gains access to equipment or confidential information.</t>
  </si>
  <si>
    <t>reviews and additional server-room CCTV.</t>
  </si>
  <si>
    <t>THR-009</t>
  </si>
  <si>
    <t>VPN Account Compromise</t>
  </si>
  <si>
    <t>An attacker obtains an employee's VPN credentials</t>
  </si>
  <si>
    <t>NET-005, HW-003, DAT-001</t>
  </si>
  <si>
    <t>Company VPN and user authentication.</t>
  </si>
  <si>
    <t>MFA, VPN monitoring and conditional access controls.</t>
  </si>
  <si>
    <t>and uses them to access the company resources</t>
  </si>
  <si>
    <t>THR-010</t>
  </si>
  <si>
    <t>Insider Threat</t>
  </si>
  <si>
    <t>An employee intentionally or accidentally accesses</t>
  </si>
  <si>
    <t>Low</t>
  </si>
  <si>
    <t>DAT-001, DAT-002, DAT-003, CLD-001</t>
  </si>
  <si>
    <t>Access controls and departmental permissions.</t>
  </si>
  <si>
    <t>Least-privilege access, access reviews, employee monitoring and security awareness training.</t>
  </si>
  <si>
    <t>modifies or discloses confidential company information.</t>
  </si>
  <si>
    <t>ID</t>
  </si>
  <si>
    <t>Security Area</t>
  </si>
  <si>
    <t>Current State</t>
  </si>
  <si>
    <t>Desired State</t>
  </si>
  <si>
    <t>Gap</t>
  </si>
  <si>
    <t>Priority</t>
  </si>
  <si>
    <t>Recommended Action</t>
  </si>
  <si>
    <t>Timeline</t>
  </si>
  <si>
    <t>GAP-001</t>
  </si>
  <si>
    <t>Multi-Factor Authentication</t>
  </si>
  <si>
    <t>MFA is not currently implemented</t>
  </si>
  <si>
    <t>MFA enabled for all users</t>
  </si>
  <si>
    <t>Accounts rely mainly on passwords</t>
  </si>
  <si>
    <t>Implement MFA for Microsoft 365 and VPN</t>
  </si>
  <si>
    <t>Month 2</t>
  </si>
  <si>
    <t>GAP-002</t>
  </si>
  <si>
    <t>Password Security</t>
  </si>
  <si>
    <t>Basic password protection</t>
  </si>
  <si>
    <t>Strong password policy and secure authentication</t>
  </si>
  <si>
    <t>Password security could be improved</t>
  </si>
  <si>
    <t>Introduce strong password requirements and password manager guidance</t>
  </si>
  <si>
    <t>IT Manager / HR</t>
  </si>
  <si>
    <t>Month 1</t>
  </si>
  <si>
    <t>GAP-003</t>
  </si>
  <si>
    <t>Security Awareness</t>
  </si>
  <si>
    <t>No formal recurring security awareness programme</t>
  </si>
  <si>
    <t>Annual and periodic security awareness training</t>
  </si>
  <si>
    <t>Employees may be vulnerable to phishing and social engineering</t>
  </si>
  <si>
    <t>Introduce cybersecurity awareness training</t>
  </si>
  <si>
    <t>HR Manager / IT Manager</t>
  </si>
  <si>
    <t>Month 3</t>
  </si>
  <si>
    <t>GAP-004</t>
  </si>
  <si>
    <t>Phishing Protection</t>
  </si>
  <si>
    <t>Basic email security</t>
  </si>
  <si>
    <t>Advanced email filtering and phishing protection</t>
  </si>
  <si>
    <t>Increased risk of malicious emails reaching employees</t>
  </si>
  <si>
    <t>Improve Microsoft 365 email security controls</t>
  </si>
  <si>
    <t>GAP-005</t>
  </si>
  <si>
    <t>Endpoint Protection</t>
  </si>
  <si>
    <t>Endpoint protection is implemented</t>
  </si>
  <si>
    <t>Centrally managed endpoint detection and response</t>
  </si>
  <si>
    <t>Limited advanced monitoring</t>
  </si>
  <si>
    <t>Implement improved endpoint detection and response</t>
  </si>
  <si>
    <t>GAP-006</t>
  </si>
  <si>
    <t>Backup Testing</t>
  </si>
  <si>
    <t>Backups are performed but regular recovery testing is not confirmed</t>
  </si>
  <si>
    <t>Backups regularly tested and verified</t>
  </si>
  <si>
    <t>Recovery reliability is uncertain</t>
  </si>
  <si>
    <t>Perform scheduled backup restoration tests</t>
  </si>
  <si>
    <t>Month 5</t>
  </si>
  <si>
    <t>GAP-007</t>
  </si>
  <si>
    <t>Offline Backups</t>
  </si>
  <si>
    <t>NAS and backup drives are available</t>
  </si>
  <si>
    <t>Protected offline/isolated backups maintained</t>
  </si>
  <si>
    <t>Backups may be exposed to ransomware</t>
  </si>
  <si>
    <t>Introduce offline or immutable backup copies</t>
  </si>
  <si>
    <t>GAP-008</t>
  </si>
  <si>
    <t>Network Segmentation</t>
  </si>
  <si>
    <t>Internal network is broadly connected</t>
  </si>
  <si>
    <t>Network separated into appropriate security zones</t>
  </si>
  <si>
    <t>Attackers could move between systems more easily</t>
  </si>
  <si>
    <t>Implement network segmentation/VLANs</t>
  </si>
  <si>
    <t>Month 4</t>
  </si>
  <si>
    <t>GAP-009</t>
  </si>
  <si>
    <t>Access Reviews</t>
  </si>
  <si>
    <t>Access is managed but regular reviews are not confirmed</t>
  </si>
  <si>
    <t>Quarterly access reviews performed</t>
  </si>
  <si>
    <t>Unnecessary access may remain active</t>
  </si>
  <si>
    <t>Conduct quarterly user and access reviews</t>
  </si>
  <si>
    <t>GAP-010</t>
  </si>
  <si>
    <t>Visitor Management</t>
  </si>
  <si>
    <t>Visitors sign in but are not always escorted</t>
  </si>
  <si>
    <t>Visitors escorted in restricted areas</t>
  </si>
  <si>
    <t>Visitors could access restricted areas</t>
  </si>
  <si>
    <t>Introduce mandatory visitor escorting</t>
  </si>
  <si>
    <t>Facilities Manager</t>
  </si>
  <si>
    <t>GAP-011</t>
  </si>
  <si>
    <t>Server Room Monitoring</t>
  </si>
  <si>
    <t>No dedicated CCTV in server room</t>
  </si>
  <si>
    <t>Server room monitored by CCTV</t>
  </si>
  <si>
    <t>Physical security monitoring gap</t>
  </si>
  <si>
    <t>Install server-room CCTV</t>
  </si>
  <si>
    <t>GAP-012</t>
  </si>
  <si>
    <t>Clean Desk</t>
  </si>
  <si>
    <t>No formal clean desk policy</t>
  </si>
  <si>
    <t>Formal clean desk policy implemented</t>
  </si>
  <si>
    <t>Confidential documents may be exposed</t>
  </si>
  <si>
    <t>Introduce and enforce clean desk policy</t>
  </si>
  <si>
    <t>GAP-013</t>
  </si>
  <si>
    <t>Laptop Security</t>
  </si>
  <si>
    <t>Laptop locks are not currently used</t>
  </si>
  <si>
    <t>Laptops physically secured where appropriate</t>
  </si>
  <si>
    <t>Increased physical theft risk</t>
  </si>
  <si>
    <t>Provide laptop security locks</t>
  </si>
  <si>
    <t>GAP-014</t>
  </si>
  <si>
    <t>Incident Response</t>
  </si>
  <si>
    <t>Incident response procedures require formalisation</t>
  </si>
  <si>
    <t>Documented and tested incident response plan</t>
  </si>
  <si>
    <t>Response may be inconsistent during an incident</t>
  </si>
  <si>
    <t>Develop and test incident response plan</t>
  </si>
  <si>
    <t>IT Manager / Project Manager</t>
  </si>
  <si>
    <t>GAP-015</t>
  </si>
  <si>
    <t>Vulnerability Management</t>
  </si>
  <si>
    <t>Regular vulnerability assessments are not confirmed</t>
  </si>
  <si>
    <t>Regular vulnerability scanning and remediation</t>
  </si>
  <si>
    <t>Vulnerabilities may remain undetected</t>
  </si>
  <si>
    <t>Introduce quarterly vulnerability assessments</t>
  </si>
  <si>
    <t>Problem</t>
  </si>
  <si>
    <t>Business Impact</t>
  </si>
  <si>
    <t>Recommendation</t>
  </si>
  <si>
    <t>Estimated Cost</t>
  </si>
  <si>
    <t>Related Risk</t>
  </si>
  <si>
    <t>REC-001</t>
  </si>
  <si>
    <t>MFA is not implemented for all users</t>
  </si>
  <si>
    <t>Compromised passwords could allow unauthorised access to company systems and data</t>
  </si>
  <si>
    <t>Implement MFA for Microsoft 365, VPN and other supported services</t>
  </si>
  <si>
    <t>Phishing / VPN Account Compromise</t>
  </si>
  <si>
    <t>REC-002</t>
  </si>
  <si>
    <t>Password security requires improvement</t>
  </si>
  <si>
    <t>Weak or reused passwords increase the risk of account compromise</t>
  </si>
  <si>
    <t>Implement a strong password policy and approved password management solution</t>
  </si>
  <si>
    <t>REC-003</t>
  </si>
  <si>
    <t>Security awareness training is not formalised</t>
  </si>
  <si>
    <t>Employees may fall victim to phishing and social engineering</t>
  </si>
  <si>
    <t>Introduce annual security awareness training and simulated phishing exercises</t>
  </si>
  <si>
    <t>Phishing</t>
  </si>
  <si>
    <t>REC-004</t>
  </si>
  <si>
    <t>Email security controls require improvement</t>
  </si>
  <si>
    <t>Malicious emails could lead to credential theft or malware infection</t>
  </si>
  <si>
    <t>Strengthen Microsoft 365 email filtering and anti-phishing controls</t>
  </si>
  <si>
    <t>Phishing / Business Email Compromise</t>
  </si>
  <si>
    <t>REC-005</t>
  </si>
  <si>
    <t>Advanced endpoint monitoring is limited</t>
  </si>
  <si>
    <t>Malware may remain undetected and spread across devices</t>
  </si>
  <si>
    <t>Implement centrally managed endpoint detection and response</t>
  </si>
  <si>
    <t>Malware Infection / Ransomware</t>
  </si>
  <si>
    <t>REC-006</t>
  </si>
  <si>
    <t>Backup recovery testing is not confirmed</t>
  </si>
  <si>
    <t>Failed backups could prevent recovery after ransomware or system failure</t>
  </si>
  <si>
    <t>Backup Failure / Ransomware</t>
  </si>
  <si>
    <t>REC-007</t>
  </si>
  <si>
    <t>Backup protection against ransomware requires improvement</t>
  </si>
  <si>
    <t>Attackers could compromise accessible backups</t>
  </si>
  <si>
    <t>Ransomware / Backup Failure</t>
  </si>
  <si>
    <t>REC-008</t>
  </si>
  <si>
    <t>Internal network segmentation requires improvement</t>
  </si>
  <si>
    <t>Attackers could move between systems after gaining access</t>
  </si>
  <si>
    <t>Implement VLANs and appropriate network segmentation</t>
  </si>
  <si>
    <t>REC-009</t>
  </si>
  <si>
    <t>Physical visitor controls are inconsistent</t>
  </si>
  <si>
    <t>Visitors could gain access to restricted areas or sensitive information</t>
  </si>
  <si>
    <t>REC-010</t>
  </si>
  <si>
    <t>Server room has no dedicated CCTV</t>
  </si>
  <si>
    <t>Physical attacks or unauthorised access may not be detected</t>
  </si>
  <si>
    <t>Install CCTV covering the server room entrance/area</t>
  </si>
  <si>
    <t>REC-011</t>
  </si>
  <si>
    <t>Confidential documents could be viewed or removed by unauthorised individuals</t>
  </si>
  <si>
    <t>Introduce and enforce a clean desk policy</t>
  </si>
  <si>
    <t>Data Breach</t>
  </si>
  <si>
    <t>REC-012</t>
  </si>
  <si>
    <t>Incident response procedures require formal testing</t>
  </si>
  <si>
    <t>The company may respond slowly or inconsistently during a major incident</t>
  </si>
  <si>
    <t>Conduct an incident response exercise and update the response plan</t>
  </si>
  <si>
    <t>Project Manager / IT Manager</t>
  </si>
  <si>
    <t>Ransomware / Data Breach</t>
  </si>
  <si>
    <t>TOTAL</t>
  </si>
  <si>
    <t>Task ID</t>
  </si>
  <si>
    <t>Implementation Activity</t>
  </si>
  <si>
    <t>Related Recommendation</t>
  </si>
  <si>
    <t>Start</t>
  </si>
  <si>
    <t>End</t>
  </si>
  <si>
    <t>Status</t>
  </si>
  <si>
    <t>IMP-001</t>
  </si>
  <si>
    <t>Approve and implement Password Policy</t>
  </si>
  <si>
    <t>Planned</t>
  </si>
  <si>
    <t>IMP-002</t>
  </si>
  <si>
    <t>Formalise Incident Response Plan</t>
  </si>
  <si>
    <t>IMP-003</t>
  </si>
  <si>
    <t>IMP-004</t>
  </si>
  <si>
    <t>Implement MFA</t>
  </si>
  <si>
    <t>IMP-005</t>
  </si>
  <si>
    <t>Improve email security controls</t>
  </si>
  <si>
    <t>IMP-006</t>
  </si>
  <si>
    <t>Deliver security awareness training</t>
  </si>
  <si>
    <t>IMP-007</t>
  </si>
  <si>
    <t>Implement endpoint detection and response</t>
  </si>
  <si>
    <t>IMP-008</t>
  </si>
  <si>
    <t>Introduce clean desk policy</t>
  </si>
  <si>
    <t>IMP-009</t>
  </si>
  <si>
    <t>Implement network segmentation</t>
  </si>
  <si>
    <t>IMP-010</t>
  </si>
  <si>
    <t>IMP-011</t>
  </si>
  <si>
    <t>Improve and test backup systems</t>
  </si>
  <si>
    <t>REC-006 / REC-007</t>
  </si>
  <si>
    <t>IMP-012</t>
  </si>
  <si>
    <t>Conduct cybersecurity audit and review</t>
  </si>
  <si>
    <t>Project Manager / Compliance</t>
  </si>
  <si>
    <t>Month 6</t>
  </si>
  <si>
    <t>Activity</t>
  </si>
  <si>
    <t>Password Policy</t>
  </si>
  <si>
    <t>Incident Response Plan</t>
  </si>
  <si>
    <t>Visitor Escorting</t>
  </si>
  <si>
    <t>MFA</t>
  </si>
  <si>
    <t>Email Security</t>
  </si>
  <si>
    <t>Security Awareness Training</t>
  </si>
  <si>
    <t>Clean Desk Policy</t>
  </si>
  <si>
    <t>Server CCTV</t>
  </si>
  <si>
    <t>Backup Improvements</t>
  </si>
  <si>
    <t>Cybersecurity Audit</t>
  </si>
  <si>
    <t>Implementation Budget</t>
  </si>
  <si>
    <t>Estimated Implementation Cost</t>
  </si>
  <si>
    <t>Contingency (10%)</t>
  </si>
  <si>
    <t>Total Project Budget</t>
  </si>
  <si>
    <r>
      <t>Note:</t>
    </r>
    <r>
      <rPr>
        <sz val="11"/>
        <color rgb="FF000000"/>
        <rFont val="-webkit-standard"/>
      </rPr>
      <t xml:space="preserve"> All costs are indicative estimates prepared for portfolio planning purposes. </t>
    </r>
  </si>
  <si>
    <t>Actual costs would require supplier quotations before implementation.</t>
  </si>
  <si>
    <t>EMERALD FINANCIAL SOLUTIONS LTD</t>
  </si>
  <si>
    <t>Cybersecurity Risk Assessment Dashboard</t>
  </si>
  <si>
    <t>TOTAL ASSETS</t>
  </si>
  <si>
    <t>Key assets assessed</t>
  </si>
  <si>
    <t>TOTAL RISKS</t>
  </si>
  <si>
    <t>Threats assessed</t>
  </si>
  <si>
    <t>Requires immediate action</t>
  </si>
  <si>
    <t>6-month implementation plan</t>
  </si>
  <si>
    <t>CRITICAL RISKS</t>
  </si>
  <si>
    <t>PROJECT BOX</t>
  </si>
  <si>
    <t>PROGRESS</t>
  </si>
  <si>
    <t>Project Not Started</t>
  </si>
  <si>
    <t>Risk Level</t>
  </si>
  <si>
    <t>Number</t>
  </si>
  <si>
    <t>Thret ID</t>
  </si>
  <si>
    <t>Risk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</si>
</sst>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€&quot;#,##0_);[Red]\(&quot;€&quot;#,##0\)"/>
  </numFmts>
  <fonts count="1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1"/>
      <color rgb="FF242424"/>
      <name val="Aptos Narrow"/>
    </font>
    <font>
      <sz val="12"/>
      <color rgb="FF00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u/>
      <sz val="11"/>
      <color rgb="FF000000"/>
      <name val="Calibri"/>
      <family val="2"/>
      <scheme val="minor"/>
    </font>
    <font>
      <b/>
      <i/>
      <u val="double"/>
      <sz val="11"/>
      <color rgb="FF000000"/>
      <name val="Calibri"/>
      <family val="2"/>
      <scheme val="minor"/>
    </font>
    <font>
      <sz val="14"/>
      <color rgb="FF000000"/>
      <name val="-webkit-standard"/>
    </font>
    <font>
      <b/>
      <u/>
      <sz val="14"/>
      <color rgb="FF000000"/>
      <name val="-webkit-standard"/>
    </font>
    <font>
      <sz val="11"/>
      <color rgb="FF000000"/>
      <name val="-webkit-standard"/>
    </font>
    <font>
      <b/>
      <i/>
      <u/>
      <sz val="14"/>
      <color rgb="FF000000"/>
      <name val="-webkit-standard"/>
    </font>
    <font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07F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0" fillId="5" borderId="0" xfId="0" applyFill="1"/>
    <xf numFmtId="0" fontId="0" fillId="6" borderId="0" xfId="0" applyFill="1"/>
    <xf numFmtId="0" fontId="7" fillId="0" borderId="0" xfId="0" applyFont="1"/>
    <xf numFmtId="0" fontId="1" fillId="2" borderId="0" xfId="0" applyFont="1" applyFill="1"/>
    <xf numFmtId="0" fontId="1" fillId="4" borderId="0" xfId="0" applyFont="1" applyFill="1"/>
    <xf numFmtId="0" fontId="1" fillId="7" borderId="0" xfId="0" applyFont="1" applyFill="1"/>
    <xf numFmtId="0" fontId="8" fillId="0" borderId="0" xfId="0" applyFont="1"/>
    <xf numFmtId="6" fontId="0" fillId="0" borderId="0" xfId="0" applyNumberFormat="1"/>
    <xf numFmtId="6" fontId="1" fillId="0" borderId="0" xfId="0" applyNumberFormat="1" applyFont="1"/>
    <xf numFmtId="0" fontId="1" fillId="8" borderId="0" xfId="0" applyFont="1" applyFill="1"/>
    <xf numFmtId="0" fontId="1" fillId="3" borderId="0" xfId="0" applyFont="1" applyFill="1"/>
    <xf numFmtId="0" fontId="9" fillId="0" borderId="0" xfId="0" applyFont="1"/>
    <xf numFmtId="0" fontId="0" fillId="9" borderId="0" xfId="0" applyFill="1"/>
    <xf numFmtId="0" fontId="11" fillId="0" borderId="0" xfId="0" applyFont="1"/>
    <xf numFmtId="17" fontId="14" fillId="0" borderId="0" xfId="0" applyNumberFormat="1" applyFont="1"/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6" fontId="0" fillId="0" borderId="1" xfId="0" applyNumberFormat="1" applyBorder="1"/>
    <xf numFmtId="9" fontId="0" fillId="0" borderId="1" xfId="0" applyNumberFormat="1" applyBorder="1"/>
    <xf numFmtId="0" fontId="15" fillId="0" borderId="1" xfId="0" applyFont="1" applyBorder="1" applyAlignment="1">
      <alignment horizontal="center"/>
    </xf>
    <xf numFmtId="0" fontId="15" fillId="0" borderId="0" xfId="0" applyFont="1"/>
    <xf numFmtId="0" fontId="1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0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Summary'!$B$5:$B$13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EF5B-4275-BBBF-F25AF6E0273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Summary'!$C$5:$C$13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EF5B-4275-BBBF-F25AF6E0273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Summary'!$D$5:$D$13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4-EF5B-4275-BBBF-F25AF6E0273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Summary'!$E$5:$E$13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EF5B-4275-BBBF-F25AF6E0273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Summary'!$F$5:$F$13</c:f>
              <c:numCache>
                <c:formatCode>General</c:formatCode>
                <c:ptCount val="9"/>
                <c:pt idx="0">
                  <c:v>4</c:v>
                </c:pt>
                <c:pt idx="2">
                  <c:v>5</c:v>
                </c:pt>
                <c:pt idx="4">
                  <c:v>1</c:v>
                </c:pt>
                <c:pt idx="6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5B-4275-BBBF-F25AF6E02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6595847"/>
        <c:axId val="1786608647"/>
      </c:barChart>
      <c:catAx>
        <c:axId val="1786595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08647"/>
        <c:crosses val="autoZero"/>
        <c:auto val="1"/>
        <c:lblAlgn val="ctr"/>
        <c:lblOffset val="100"/>
        <c:noMultiLvlLbl val="0"/>
      </c:catAx>
      <c:valAx>
        <c:axId val="1786608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95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57150</xdr:rowOff>
    </xdr:from>
    <xdr:to>
      <xdr:col>7</xdr:col>
      <xdr:colOff>304800</xdr:colOff>
      <xdr:row>33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6BF293-3C3E-F725-5A4A-06385ADD9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7"/>
  <sheetViews>
    <sheetView topLeftCell="A2" workbookViewId="0">
      <pane ySplit="9" topLeftCell="A14" activePane="bottomLeft" state="frozen"/>
      <selection pane="bottomLeft" activeCell="I4" sqref="I4"/>
    </sheetView>
  </sheetViews>
  <sheetFormatPr baseColWidth="10" defaultColWidth="8.83203125" defaultRowHeight="15"/>
  <cols>
    <col min="43" max="43" width="14.33203125" customWidth="1"/>
  </cols>
  <sheetData>
    <row r="1" spans="1:46">
      <c r="A1" t="s">
        <v>0</v>
      </c>
    </row>
    <row r="2" spans="1:46">
      <c r="A2" t="s">
        <v>1</v>
      </c>
    </row>
    <row r="3" spans="1:46">
      <c r="A3" t="s">
        <v>2</v>
      </c>
    </row>
    <row r="4" spans="1:46">
      <c r="A4" t="s">
        <v>3</v>
      </c>
    </row>
    <row r="6" spans="1:46">
      <c r="A6" t="s">
        <v>4</v>
      </c>
      <c r="D6" t="s">
        <v>5</v>
      </c>
      <c r="G6" t="s">
        <v>6</v>
      </c>
      <c r="J6" t="s">
        <v>7</v>
      </c>
      <c r="M6" t="s">
        <v>8</v>
      </c>
      <c r="P6" t="s">
        <v>9</v>
      </c>
      <c r="S6" t="s">
        <v>10</v>
      </c>
      <c r="V6" t="s">
        <v>11</v>
      </c>
      <c r="Y6" t="s">
        <v>12</v>
      </c>
      <c r="AB6" t="s">
        <v>13</v>
      </c>
      <c r="AE6" t="s">
        <v>14</v>
      </c>
      <c r="AH6" t="s">
        <v>15</v>
      </c>
      <c r="AK6" t="s">
        <v>16</v>
      </c>
      <c r="AN6" t="s">
        <v>17</v>
      </c>
      <c r="AQ6" t="s">
        <v>18</v>
      </c>
      <c r="AT6" t="s">
        <v>19</v>
      </c>
    </row>
    <row r="7" spans="1:46">
      <c r="AQ7" t="s">
        <v>20</v>
      </c>
      <c r="AT7" t="s">
        <v>21</v>
      </c>
    </row>
    <row r="8" spans="1:46">
      <c r="A8" t="s">
        <v>22</v>
      </c>
      <c r="D8" t="s">
        <v>23</v>
      </c>
      <c r="G8" t="s">
        <v>23</v>
      </c>
      <c r="J8" t="s">
        <v>24</v>
      </c>
      <c r="M8" t="s">
        <v>25</v>
      </c>
      <c r="P8" t="s">
        <v>26</v>
      </c>
      <c r="S8" t="s">
        <v>27</v>
      </c>
      <c r="V8" t="s">
        <v>28</v>
      </c>
      <c r="Y8" t="s">
        <v>29</v>
      </c>
      <c r="AB8" t="s">
        <v>30</v>
      </c>
      <c r="AE8" t="s">
        <v>31</v>
      </c>
      <c r="AH8" t="s">
        <v>32</v>
      </c>
      <c r="AK8" t="s">
        <v>33</v>
      </c>
      <c r="AN8" t="s">
        <v>34</v>
      </c>
      <c r="AQ8" t="s">
        <v>35</v>
      </c>
    </row>
    <row r="9" spans="1:46">
      <c r="G9" t="s">
        <v>36</v>
      </c>
      <c r="AK9" t="s">
        <v>37</v>
      </c>
      <c r="AN9" t="s">
        <v>38</v>
      </c>
      <c r="AO9" t="s">
        <v>39</v>
      </c>
    </row>
    <row r="12" spans="1:46" ht="16">
      <c r="A12" t="s">
        <v>40</v>
      </c>
      <c r="D12" t="s">
        <v>41</v>
      </c>
      <c r="G12" t="s">
        <v>42</v>
      </c>
      <c r="J12" t="s">
        <v>43</v>
      </c>
      <c r="M12" t="s">
        <v>44</v>
      </c>
      <c r="P12" t="s">
        <v>45</v>
      </c>
      <c r="S12">
        <v>45</v>
      </c>
      <c r="V12" s="6" t="s">
        <v>46</v>
      </c>
      <c r="Y12" s="7" t="s">
        <v>47</v>
      </c>
      <c r="AB12" s="7" t="s">
        <v>47</v>
      </c>
      <c r="AE12" s="7" t="s">
        <v>47</v>
      </c>
      <c r="AH12" s="7" t="s">
        <v>47</v>
      </c>
      <c r="AK12" s="1" t="s">
        <v>48</v>
      </c>
      <c r="AN12" t="s">
        <v>49</v>
      </c>
      <c r="AQ12" t="s">
        <v>49</v>
      </c>
      <c r="AT12" t="s">
        <v>49</v>
      </c>
    </row>
    <row r="13" spans="1:46">
      <c r="D13" t="s">
        <v>50</v>
      </c>
    </row>
    <row r="15" spans="1:46">
      <c r="A15" t="s">
        <v>51</v>
      </c>
      <c r="D15" t="s">
        <v>52</v>
      </c>
      <c r="G15" t="s">
        <v>42</v>
      </c>
      <c r="J15" t="s">
        <v>43</v>
      </c>
      <c r="M15" t="s">
        <v>53</v>
      </c>
      <c r="P15" t="s">
        <v>53</v>
      </c>
      <c r="S15">
        <v>5</v>
      </c>
      <c r="V15" s="6" t="s">
        <v>46</v>
      </c>
      <c r="Y15" s="7" t="s">
        <v>47</v>
      </c>
      <c r="AB15" s="7" t="s">
        <v>47</v>
      </c>
      <c r="AE15" s="7" t="s">
        <v>47</v>
      </c>
      <c r="AH15" s="6" t="s">
        <v>46</v>
      </c>
      <c r="AK15" t="s">
        <v>54</v>
      </c>
      <c r="AN15" t="s">
        <v>49</v>
      </c>
      <c r="AQ15" t="s">
        <v>49</v>
      </c>
      <c r="AT15" t="s">
        <v>49</v>
      </c>
    </row>
    <row r="16" spans="1:46">
      <c r="P16" t="s">
        <v>55</v>
      </c>
    </row>
    <row r="18" spans="1:46">
      <c r="A18" t="s">
        <v>56</v>
      </c>
      <c r="D18" t="s">
        <v>57</v>
      </c>
      <c r="G18" t="s">
        <v>42</v>
      </c>
      <c r="J18" t="s">
        <v>43</v>
      </c>
      <c r="M18" t="s">
        <v>58</v>
      </c>
      <c r="P18" t="s">
        <v>59</v>
      </c>
      <c r="S18">
        <v>1</v>
      </c>
      <c r="V18" s="7" t="s">
        <v>47</v>
      </c>
      <c r="Y18" s="5" t="s">
        <v>60</v>
      </c>
      <c r="AB18" s="5" t="s">
        <v>60</v>
      </c>
      <c r="AE18" s="5" t="s">
        <v>60</v>
      </c>
      <c r="AH18" s="5" t="s">
        <v>60</v>
      </c>
      <c r="AK18" t="s">
        <v>61</v>
      </c>
      <c r="AN18" t="s">
        <v>49</v>
      </c>
      <c r="AQ18" t="s">
        <v>49</v>
      </c>
      <c r="AT18" t="s">
        <v>49</v>
      </c>
    </row>
    <row r="20" spans="1:46" ht="16">
      <c r="A20" t="s">
        <v>62</v>
      </c>
      <c r="D20" t="s">
        <v>63</v>
      </c>
      <c r="G20" t="s">
        <v>42</v>
      </c>
      <c r="J20" t="s">
        <v>43</v>
      </c>
      <c r="M20" t="s">
        <v>58</v>
      </c>
      <c r="P20" t="s">
        <v>59</v>
      </c>
      <c r="S20">
        <v>1</v>
      </c>
      <c r="V20" s="7" t="s">
        <v>47</v>
      </c>
      <c r="Y20" s="5" t="s">
        <v>64</v>
      </c>
      <c r="AB20" s="7" t="s">
        <v>47</v>
      </c>
      <c r="AE20" s="7" t="s">
        <v>47</v>
      </c>
      <c r="AH20" s="7" t="s">
        <v>47</v>
      </c>
      <c r="AK20" t="s">
        <v>65</v>
      </c>
      <c r="AN20" s="2" t="s">
        <v>66</v>
      </c>
      <c r="AQ20" t="s">
        <v>67</v>
      </c>
      <c r="AT20" t="s">
        <v>68</v>
      </c>
    </row>
    <row r="21" spans="1:46">
      <c r="AN21" t="s">
        <v>69</v>
      </c>
      <c r="AQ21" t="s">
        <v>70</v>
      </c>
    </row>
    <row r="23" spans="1:46" ht="19">
      <c r="A23" s="3" t="s">
        <v>71</v>
      </c>
      <c r="D23" t="s">
        <v>72</v>
      </c>
      <c r="G23" t="s">
        <v>73</v>
      </c>
      <c r="J23" t="s">
        <v>43</v>
      </c>
      <c r="M23" t="s">
        <v>58</v>
      </c>
      <c r="P23" t="s">
        <v>59</v>
      </c>
      <c r="S23">
        <v>1</v>
      </c>
      <c r="V23" s="7" t="s">
        <v>47</v>
      </c>
      <c r="Y23" s="5" t="s">
        <v>60</v>
      </c>
      <c r="AB23" s="7" t="s">
        <v>47</v>
      </c>
      <c r="AE23" s="7" t="s">
        <v>47</v>
      </c>
      <c r="AH23" s="7" t="s">
        <v>47</v>
      </c>
      <c r="AK23" t="s">
        <v>74</v>
      </c>
      <c r="AN23" t="s">
        <v>75</v>
      </c>
      <c r="AQ23" t="s">
        <v>73</v>
      </c>
      <c r="AT23" t="s">
        <v>76</v>
      </c>
    </row>
    <row r="24" spans="1:46">
      <c r="AQ24" t="s">
        <v>35</v>
      </c>
    </row>
    <row r="26" spans="1:46">
      <c r="A26" t="s">
        <v>77</v>
      </c>
      <c r="D26" t="s">
        <v>78</v>
      </c>
      <c r="G26" t="s">
        <v>73</v>
      </c>
      <c r="J26" t="s">
        <v>43</v>
      </c>
      <c r="M26" t="s">
        <v>58</v>
      </c>
      <c r="P26" t="s">
        <v>59</v>
      </c>
      <c r="S26">
        <v>2</v>
      </c>
      <c r="V26" s="7" t="s">
        <v>47</v>
      </c>
      <c r="Y26" s="7" t="s">
        <v>47</v>
      </c>
      <c r="AB26" s="6" t="s">
        <v>46</v>
      </c>
      <c r="AE26" s="7" t="s">
        <v>47</v>
      </c>
      <c r="AH26" s="7" t="s">
        <v>47</v>
      </c>
      <c r="AK26" t="s">
        <v>54</v>
      </c>
      <c r="AN26" t="s">
        <v>79</v>
      </c>
      <c r="AQ26" t="s">
        <v>80</v>
      </c>
      <c r="AT26" t="s">
        <v>81</v>
      </c>
    </row>
    <row r="27" spans="1:46">
      <c r="AQ27" s="4" t="s">
        <v>82</v>
      </c>
    </row>
    <row r="28" spans="1:46">
      <c r="A28" t="s">
        <v>83</v>
      </c>
      <c r="D28" t="s">
        <v>84</v>
      </c>
      <c r="G28" t="s">
        <v>73</v>
      </c>
      <c r="J28" t="s">
        <v>43</v>
      </c>
      <c r="M28" t="s">
        <v>58</v>
      </c>
      <c r="P28" t="s">
        <v>59</v>
      </c>
      <c r="S28">
        <v>2</v>
      </c>
      <c r="V28" s="7" t="s">
        <v>47</v>
      </c>
      <c r="Y28" s="7" t="s">
        <v>47</v>
      </c>
      <c r="AB28" s="6" t="s">
        <v>46</v>
      </c>
      <c r="AE28" s="7" t="s">
        <v>47</v>
      </c>
      <c r="AH28" s="7" t="s">
        <v>47</v>
      </c>
      <c r="AK28" t="s">
        <v>85</v>
      </c>
      <c r="AN28" t="s">
        <v>66</v>
      </c>
      <c r="AQ28" t="s">
        <v>86</v>
      </c>
      <c r="AT28" t="s">
        <v>87</v>
      </c>
    </row>
    <row r="29" spans="1:46">
      <c r="D29" t="s">
        <v>88</v>
      </c>
      <c r="AN29" t="s">
        <v>69</v>
      </c>
      <c r="AQ29" s="4" t="s">
        <v>82</v>
      </c>
    </row>
    <row r="31" spans="1:46">
      <c r="A31" t="s">
        <v>89</v>
      </c>
      <c r="D31" t="s">
        <v>90</v>
      </c>
      <c r="G31" t="s">
        <v>73</v>
      </c>
      <c r="J31" t="s">
        <v>43</v>
      </c>
      <c r="M31" t="s">
        <v>58</v>
      </c>
      <c r="P31" t="s">
        <v>55</v>
      </c>
      <c r="S31">
        <v>3</v>
      </c>
      <c r="V31" s="6" t="s">
        <v>46</v>
      </c>
      <c r="Y31" s="7" t="s">
        <v>47</v>
      </c>
      <c r="AB31" s="7" t="s">
        <v>47</v>
      </c>
      <c r="AE31" s="7" t="s">
        <v>47</v>
      </c>
      <c r="AH31" s="7" t="s">
        <v>47</v>
      </c>
      <c r="AK31" t="s">
        <v>91</v>
      </c>
      <c r="AN31" t="s">
        <v>92</v>
      </c>
      <c r="AQ31" t="s">
        <v>93</v>
      </c>
      <c r="AT31" t="s">
        <v>94</v>
      </c>
    </row>
    <row r="32" spans="1:46">
      <c r="AQ32" t="s">
        <v>95</v>
      </c>
      <c r="AT32" t="s">
        <v>96</v>
      </c>
    </row>
    <row r="33" spans="1:46">
      <c r="AQ33" t="s">
        <v>97</v>
      </c>
    </row>
    <row r="35" spans="1:46">
      <c r="A35" t="s">
        <v>98</v>
      </c>
      <c r="D35" t="s">
        <v>99</v>
      </c>
      <c r="G35" t="s">
        <v>100</v>
      </c>
      <c r="J35" t="s">
        <v>43</v>
      </c>
      <c r="M35" t="s">
        <v>44</v>
      </c>
      <c r="P35" t="s">
        <v>101</v>
      </c>
      <c r="S35">
        <v>45</v>
      </c>
      <c r="V35" s="5" t="s">
        <v>60</v>
      </c>
      <c r="Y35" s="5" t="s">
        <v>60</v>
      </c>
      <c r="AB35" s="7" t="s">
        <v>47</v>
      </c>
      <c r="AE35" s="7" t="s">
        <v>47</v>
      </c>
      <c r="AH35" s="7" t="s">
        <v>47</v>
      </c>
      <c r="AK35" t="s">
        <v>102</v>
      </c>
      <c r="AN35" t="s">
        <v>103</v>
      </c>
      <c r="AQ35" t="s">
        <v>104</v>
      </c>
      <c r="AT35" t="s">
        <v>105</v>
      </c>
    </row>
    <row r="36" spans="1:46">
      <c r="AN36" t="s">
        <v>106</v>
      </c>
    </row>
    <row r="38" spans="1:46">
      <c r="A38" t="s">
        <v>107</v>
      </c>
      <c r="D38" t="s">
        <v>108</v>
      </c>
      <c r="G38" t="s">
        <v>109</v>
      </c>
      <c r="J38" t="s">
        <v>43</v>
      </c>
      <c r="M38" t="s">
        <v>44</v>
      </c>
      <c r="P38" t="s">
        <v>101</v>
      </c>
      <c r="S38">
        <v>1</v>
      </c>
      <c r="V38" s="7" t="s">
        <v>47</v>
      </c>
      <c r="Y38" s="5" t="s">
        <v>60</v>
      </c>
      <c r="AB38" s="7" t="s">
        <v>47</v>
      </c>
      <c r="AE38" s="7" t="s">
        <v>47</v>
      </c>
      <c r="AH38" s="7" t="s">
        <v>47</v>
      </c>
      <c r="AK38" t="s">
        <v>110</v>
      </c>
      <c r="AN38" t="s">
        <v>111</v>
      </c>
      <c r="AQ38" t="s">
        <v>112</v>
      </c>
      <c r="AT38" t="s">
        <v>113</v>
      </c>
    </row>
    <row r="40" spans="1:46">
      <c r="A40" t="s">
        <v>114</v>
      </c>
      <c r="D40" t="s">
        <v>115</v>
      </c>
      <c r="G40" t="s">
        <v>116</v>
      </c>
      <c r="J40" t="s">
        <v>117</v>
      </c>
      <c r="M40" t="s">
        <v>118</v>
      </c>
      <c r="P40" t="s">
        <v>57</v>
      </c>
      <c r="S40" t="s">
        <v>119</v>
      </c>
      <c r="V40" s="5" t="s">
        <v>60</v>
      </c>
      <c r="Y40" s="5" t="s">
        <v>60</v>
      </c>
      <c r="AB40" s="7" t="s">
        <v>120</v>
      </c>
      <c r="AE40" s="7" t="s">
        <v>47</v>
      </c>
      <c r="AH40" s="7" t="s">
        <v>47</v>
      </c>
      <c r="AK40" t="s">
        <v>121</v>
      </c>
      <c r="AN40" t="s">
        <v>122</v>
      </c>
      <c r="AQ40" t="s">
        <v>104</v>
      </c>
      <c r="AT40" t="s">
        <v>123</v>
      </c>
    </row>
    <row r="41" spans="1:46">
      <c r="D41" t="s">
        <v>116</v>
      </c>
      <c r="AQ41" t="s">
        <v>124</v>
      </c>
      <c r="AT41" t="s">
        <v>125</v>
      </c>
    </row>
    <row r="43" spans="1:46">
      <c r="A43" t="s">
        <v>126</v>
      </c>
      <c r="D43" t="s">
        <v>127</v>
      </c>
      <c r="G43" t="s">
        <v>116</v>
      </c>
      <c r="J43" t="s">
        <v>128</v>
      </c>
      <c r="M43" t="s">
        <v>129</v>
      </c>
      <c r="P43" t="s">
        <v>130</v>
      </c>
      <c r="S43" t="s">
        <v>131</v>
      </c>
      <c r="V43" s="7" t="s">
        <v>47</v>
      </c>
      <c r="Y43" s="7" t="s">
        <v>47</v>
      </c>
      <c r="AB43" s="7" t="s">
        <v>47</v>
      </c>
      <c r="AE43" s="7" t="s">
        <v>47</v>
      </c>
      <c r="AH43" s="6" t="s">
        <v>46</v>
      </c>
      <c r="AK43" t="s">
        <v>132</v>
      </c>
      <c r="AN43" t="s">
        <v>133</v>
      </c>
      <c r="AQ43" t="s">
        <v>134</v>
      </c>
      <c r="AT43" t="s">
        <v>135</v>
      </c>
    </row>
    <row r="44" spans="1:46">
      <c r="D44" t="s">
        <v>136</v>
      </c>
    </row>
    <row r="46" spans="1:46">
      <c r="A46" t="s">
        <v>137</v>
      </c>
      <c r="D46" t="s">
        <v>138</v>
      </c>
      <c r="G46" t="s">
        <v>139</v>
      </c>
      <c r="J46" t="s">
        <v>43</v>
      </c>
      <c r="M46" t="s">
        <v>58</v>
      </c>
      <c r="P46" t="s">
        <v>80</v>
      </c>
      <c r="S46">
        <v>1</v>
      </c>
      <c r="V46" s="6" t="s">
        <v>46</v>
      </c>
      <c r="Y46" s="7" t="s">
        <v>47</v>
      </c>
      <c r="AB46" s="6" t="s">
        <v>46</v>
      </c>
      <c r="AE46" s="7" t="s">
        <v>47</v>
      </c>
      <c r="AH46" s="7" t="s">
        <v>47</v>
      </c>
      <c r="AK46" t="s">
        <v>65</v>
      </c>
      <c r="AN46" t="s">
        <v>140</v>
      </c>
      <c r="AQ46" t="s">
        <v>141</v>
      </c>
      <c r="AT46" t="s">
        <v>142</v>
      </c>
    </row>
    <row r="47" spans="1:46">
      <c r="AN47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7857-857E-42D3-9858-55F938DF3227}">
  <dimension ref="A1:F35"/>
  <sheetViews>
    <sheetView workbookViewId="0">
      <selection activeCell="S9" sqref="S9"/>
    </sheetView>
  </sheetViews>
  <sheetFormatPr baseColWidth="10" defaultColWidth="8.83203125" defaultRowHeight="15"/>
  <sheetData>
    <row r="1" spans="1:6">
      <c r="A1" t="s">
        <v>144</v>
      </c>
      <c r="F1" t="s">
        <v>145</v>
      </c>
    </row>
    <row r="3" spans="1:6">
      <c r="A3" t="s">
        <v>146</v>
      </c>
      <c r="F3">
        <v>13</v>
      </c>
    </row>
    <row r="5" spans="1:6">
      <c r="A5" t="s">
        <v>147</v>
      </c>
      <c r="F5">
        <v>4</v>
      </c>
    </row>
    <row r="7" spans="1:6">
      <c r="A7" t="s">
        <v>148</v>
      </c>
      <c r="F7">
        <v>5</v>
      </c>
    </row>
    <row r="9" spans="1:6">
      <c r="A9" t="s">
        <v>149</v>
      </c>
      <c r="F9">
        <v>1</v>
      </c>
    </row>
    <row r="11" spans="1:6">
      <c r="A11" t="s">
        <v>150</v>
      </c>
      <c r="F11">
        <v>2</v>
      </c>
    </row>
    <row r="13" spans="1:6">
      <c r="A13" t="s">
        <v>151</v>
      </c>
      <c r="F13">
        <v>1</v>
      </c>
    </row>
    <row r="15" spans="1:6">
      <c r="A15" t="s">
        <v>152</v>
      </c>
      <c r="F15">
        <v>6</v>
      </c>
    </row>
    <row r="35" spans="1:1">
      <c r="A35" t="s">
        <v>153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C2C2-B31D-45E2-98F6-BEA8D608E6BC}">
  <dimension ref="A1:AD44"/>
  <sheetViews>
    <sheetView workbookViewId="0">
      <pane ySplit="1" topLeftCell="A2" activePane="bottomLeft" state="frozen"/>
      <selection pane="bottomLeft" activeCell="V21" sqref="V21"/>
    </sheetView>
  </sheetViews>
  <sheetFormatPr baseColWidth="10" defaultColWidth="8.83203125" defaultRowHeight="15"/>
  <cols>
    <col min="1" max="1" width="10.33203125" customWidth="1"/>
    <col min="6" max="6" width="10.5" customWidth="1"/>
    <col min="10" max="10" width="28.33203125" customWidth="1"/>
    <col min="29" max="29" width="14.33203125" customWidth="1"/>
    <col min="30" max="30" width="68.1640625" customWidth="1"/>
    <col min="31" max="31" width="16.33203125" customWidth="1"/>
  </cols>
  <sheetData>
    <row r="1" spans="1:30">
      <c r="A1" s="10" t="s">
        <v>154</v>
      </c>
      <c r="D1" s="10" t="s">
        <v>155</v>
      </c>
      <c r="E1" s="10"/>
      <c r="F1" s="10"/>
      <c r="G1" s="10" t="s">
        <v>156</v>
      </c>
      <c r="H1" s="10"/>
      <c r="I1" s="10"/>
      <c r="J1" s="10"/>
      <c r="K1" s="10" t="s">
        <v>157</v>
      </c>
      <c r="O1" s="10" t="s">
        <v>158</v>
      </c>
      <c r="P1" s="10"/>
      <c r="Q1" s="10"/>
      <c r="R1" s="10"/>
      <c r="S1" s="10" t="s">
        <v>159</v>
      </c>
      <c r="T1" s="10"/>
      <c r="U1" s="10"/>
      <c r="V1" s="10"/>
      <c r="W1" s="10"/>
      <c r="X1" s="10" t="s">
        <v>160</v>
      </c>
      <c r="Y1" s="10"/>
      <c r="Z1" s="10"/>
      <c r="AA1" s="10"/>
      <c r="AB1" s="10"/>
      <c r="AC1" s="10"/>
      <c r="AD1" s="10" t="s">
        <v>161</v>
      </c>
    </row>
    <row r="3" spans="1:30" ht="16">
      <c r="A3" s="11" t="s">
        <v>162</v>
      </c>
      <c r="D3" t="s">
        <v>163</v>
      </c>
      <c r="G3" s="9" t="s">
        <v>164</v>
      </c>
      <c r="K3" s="7" t="s">
        <v>47</v>
      </c>
      <c r="O3" s="7" t="s">
        <v>47</v>
      </c>
      <c r="S3" s="9" t="s">
        <v>165</v>
      </c>
      <c r="X3" s="9" t="s">
        <v>166</v>
      </c>
      <c r="AD3" t="s">
        <v>167</v>
      </c>
    </row>
    <row r="4" spans="1:30" ht="16">
      <c r="A4" s="11"/>
      <c r="G4" s="4" t="s">
        <v>168</v>
      </c>
      <c r="AD4" s="4" t="s">
        <v>169</v>
      </c>
    </row>
    <row r="5" spans="1:30" ht="16">
      <c r="A5" s="11"/>
    </row>
    <row r="6" spans="1:30" ht="16">
      <c r="A6" s="11"/>
    </row>
    <row r="7" spans="1:30" ht="16">
      <c r="A7" s="11" t="s">
        <v>170</v>
      </c>
      <c r="D7" s="9" t="s">
        <v>171</v>
      </c>
      <c r="G7" s="9" t="s">
        <v>172</v>
      </c>
      <c r="K7" s="13" t="s">
        <v>46</v>
      </c>
      <c r="O7" s="5" t="s">
        <v>60</v>
      </c>
      <c r="S7" s="4" t="s">
        <v>173</v>
      </c>
      <c r="X7" s="4" t="s">
        <v>174</v>
      </c>
      <c r="Y7" s="9"/>
      <c r="AD7" s="9" t="s">
        <v>175</v>
      </c>
    </row>
    <row r="8" spans="1:30" ht="16">
      <c r="A8" s="11"/>
      <c r="G8" s="9" t="s">
        <v>176</v>
      </c>
      <c r="AD8" s="4" t="s">
        <v>177</v>
      </c>
    </row>
    <row r="9" spans="1:30" ht="16">
      <c r="A9" s="11"/>
      <c r="G9" t="s">
        <v>178</v>
      </c>
      <c r="AD9" s="4" t="s">
        <v>179</v>
      </c>
    </row>
    <row r="10" spans="1:30" ht="16">
      <c r="A10" s="11"/>
      <c r="AD10" s="4"/>
    </row>
    <row r="11" spans="1:30" ht="16">
      <c r="A11" s="11" t="s">
        <v>180</v>
      </c>
      <c r="D11" s="9" t="s">
        <v>181</v>
      </c>
      <c r="G11" s="9" t="s">
        <v>182</v>
      </c>
      <c r="K11" s="7" t="s">
        <v>47</v>
      </c>
      <c r="O11" s="7" t="s">
        <v>47</v>
      </c>
      <c r="S11" s="9" t="s">
        <v>183</v>
      </c>
      <c r="X11" s="9" t="s">
        <v>184</v>
      </c>
      <c r="AD11" s="9" t="s">
        <v>185</v>
      </c>
    </row>
    <row r="12" spans="1:30" ht="16">
      <c r="A12" s="11"/>
      <c r="G12" s="4" t="s">
        <v>186</v>
      </c>
    </row>
    <row r="13" spans="1:30" ht="16">
      <c r="A13" s="11"/>
      <c r="G13" s="4"/>
    </row>
    <row r="14" spans="1:30" ht="16">
      <c r="A14" s="11" t="s">
        <v>187</v>
      </c>
      <c r="D14" s="9" t="s">
        <v>188</v>
      </c>
      <c r="G14" s="9" t="s">
        <v>189</v>
      </c>
      <c r="K14" s="13" t="s">
        <v>46</v>
      </c>
      <c r="O14" s="5" t="s">
        <v>60</v>
      </c>
      <c r="S14" s="9" t="s">
        <v>190</v>
      </c>
      <c r="X14" s="9" t="s">
        <v>191</v>
      </c>
      <c r="AD14" t="s">
        <v>192</v>
      </c>
    </row>
    <row r="15" spans="1:30" ht="16">
      <c r="A15" s="11"/>
      <c r="G15" s="9" t="s">
        <v>193</v>
      </c>
    </row>
    <row r="16" spans="1:30" ht="16">
      <c r="A16" s="11"/>
      <c r="G16" s="9"/>
    </row>
    <row r="17" spans="1:30" ht="16">
      <c r="A17" s="11" t="s">
        <v>194</v>
      </c>
      <c r="D17" s="9" t="s">
        <v>195</v>
      </c>
      <c r="G17" s="9" t="s">
        <v>196</v>
      </c>
      <c r="K17" s="13" t="s">
        <v>46</v>
      </c>
      <c r="O17" s="7" t="s">
        <v>47</v>
      </c>
      <c r="S17" s="9" t="s">
        <v>197</v>
      </c>
      <c r="X17" s="9" t="s">
        <v>198</v>
      </c>
      <c r="AD17" s="9" t="s">
        <v>199</v>
      </c>
    </row>
    <row r="18" spans="1:30" ht="16">
      <c r="A18" s="11"/>
      <c r="G18" s="9" t="s">
        <v>200</v>
      </c>
    </row>
    <row r="19" spans="1:30" ht="16">
      <c r="A19" s="11"/>
      <c r="G19" s="9"/>
    </row>
    <row r="20" spans="1:30" ht="16">
      <c r="A20" s="11" t="s">
        <v>201</v>
      </c>
      <c r="D20" s="9" t="s">
        <v>202</v>
      </c>
      <c r="G20" s="9" t="s">
        <v>203</v>
      </c>
      <c r="K20" s="13" t="s">
        <v>46</v>
      </c>
      <c r="O20" s="7" t="s">
        <v>47</v>
      </c>
      <c r="S20" s="9" t="s">
        <v>204</v>
      </c>
      <c r="X20" s="9" t="s">
        <v>205</v>
      </c>
      <c r="AD20" s="9" t="s">
        <v>206</v>
      </c>
    </row>
    <row r="21" spans="1:30" ht="16">
      <c r="A21" s="11"/>
    </row>
    <row r="22" spans="1:30" ht="16">
      <c r="A22" s="11"/>
    </row>
    <row r="23" spans="1:30" ht="16">
      <c r="A23" s="11" t="s">
        <v>207</v>
      </c>
      <c r="D23" s="9" t="s">
        <v>208</v>
      </c>
      <c r="G23" s="9" t="s">
        <v>209</v>
      </c>
      <c r="K23" s="13" t="s">
        <v>46</v>
      </c>
      <c r="O23" s="5" t="s">
        <v>60</v>
      </c>
      <c r="S23" s="9" t="s">
        <v>210</v>
      </c>
      <c r="X23" s="9" t="s">
        <v>211</v>
      </c>
      <c r="AD23" s="9" t="s">
        <v>212</v>
      </c>
    </row>
    <row r="24" spans="1:30" ht="16">
      <c r="A24" s="11"/>
      <c r="G24" t="s">
        <v>213</v>
      </c>
      <c r="AD24" s="4" t="s">
        <v>214</v>
      </c>
    </row>
    <row r="25" spans="1:30" ht="16">
      <c r="A25" s="11"/>
    </row>
    <row r="26" spans="1:30" ht="16">
      <c r="A26" s="11" t="s">
        <v>215</v>
      </c>
      <c r="D26" s="9" t="s">
        <v>216</v>
      </c>
      <c r="G26" s="9" t="s">
        <v>217</v>
      </c>
      <c r="K26" s="13" t="s">
        <v>46</v>
      </c>
      <c r="O26" s="7" t="s">
        <v>47</v>
      </c>
      <c r="S26" s="9" t="s">
        <v>218</v>
      </c>
      <c r="X26" s="9" t="s">
        <v>219</v>
      </c>
      <c r="AD26" s="9" t="s">
        <v>220</v>
      </c>
    </row>
    <row r="27" spans="1:30" ht="16">
      <c r="A27" s="11"/>
      <c r="G27" s="9" t="s">
        <v>221</v>
      </c>
      <c r="AD27" s="9" t="s">
        <v>222</v>
      </c>
    </row>
    <row r="28" spans="1:30" ht="16">
      <c r="A28" s="11"/>
    </row>
    <row r="29" spans="1:30" ht="16">
      <c r="A29" s="11" t="s">
        <v>223</v>
      </c>
      <c r="D29" s="9" t="s">
        <v>224</v>
      </c>
      <c r="G29" s="9" t="s">
        <v>225</v>
      </c>
      <c r="K29" s="13" t="s">
        <v>46</v>
      </c>
      <c r="O29" s="7" t="s">
        <v>47</v>
      </c>
      <c r="S29" s="9" t="s">
        <v>226</v>
      </c>
      <c r="X29" s="9" t="s">
        <v>227</v>
      </c>
      <c r="AD29" s="9" t="s">
        <v>228</v>
      </c>
    </row>
    <row r="30" spans="1:30" ht="16">
      <c r="A30" s="11"/>
      <c r="G30" t="s">
        <v>229</v>
      </c>
    </row>
    <row r="31" spans="1:30" ht="16">
      <c r="A31" s="11"/>
    </row>
    <row r="32" spans="1:30" ht="16">
      <c r="A32" s="11" t="s">
        <v>230</v>
      </c>
      <c r="D32" t="s">
        <v>231</v>
      </c>
      <c r="G32" s="9" t="s">
        <v>232</v>
      </c>
      <c r="K32" s="12" t="s">
        <v>233</v>
      </c>
      <c r="O32" s="5" t="s">
        <v>60</v>
      </c>
      <c r="S32" t="s">
        <v>234</v>
      </c>
      <c r="X32" s="9" t="s">
        <v>235</v>
      </c>
      <c r="AD32" s="9" t="s">
        <v>236</v>
      </c>
    </row>
    <row r="33" spans="1:7" ht="16">
      <c r="A33" s="8"/>
      <c r="G33" t="s">
        <v>237</v>
      </c>
    </row>
    <row r="34" spans="1:7" ht="16">
      <c r="A34" s="8"/>
    </row>
    <row r="35" spans="1:7" ht="16">
      <c r="A35" s="8"/>
    </row>
    <row r="36" spans="1:7" ht="16">
      <c r="A36" s="8"/>
    </row>
    <row r="37" spans="1:7" ht="16">
      <c r="A37" s="8"/>
    </row>
    <row r="38" spans="1:7" ht="16">
      <c r="A38" s="8"/>
    </row>
    <row r="39" spans="1:7" ht="16">
      <c r="A39" s="8"/>
    </row>
    <row r="40" spans="1:7" ht="16">
      <c r="A40" s="8"/>
    </row>
    <row r="41" spans="1:7" ht="16">
      <c r="A41" s="8"/>
    </row>
    <row r="42" spans="1:7" ht="16">
      <c r="A42" s="8"/>
    </row>
    <row r="43" spans="1:7" ht="16">
      <c r="A43" s="8"/>
    </row>
    <row r="44" spans="1:7" ht="19">
      <c r="A4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1734-5385-B44D-A86C-D21D5C3A8406}">
  <dimension ref="A1:P32"/>
  <sheetViews>
    <sheetView workbookViewId="0">
      <selection activeCell="U22" sqref="U22"/>
    </sheetView>
  </sheetViews>
  <sheetFormatPr baseColWidth="10" defaultRowHeight="15"/>
  <sheetData>
    <row r="1" spans="1:16">
      <c r="A1" t="s">
        <v>467</v>
      </c>
      <c r="D1" t="s">
        <v>155</v>
      </c>
      <c r="G1" t="s">
        <v>157</v>
      </c>
      <c r="J1" t="s">
        <v>158</v>
      </c>
      <c r="M1" t="s">
        <v>468</v>
      </c>
      <c r="P1" t="s">
        <v>465</v>
      </c>
    </row>
    <row r="3" spans="1:16">
      <c r="A3" t="s">
        <v>162</v>
      </c>
      <c r="D3" t="s">
        <v>163</v>
      </c>
      <c r="G3">
        <v>5</v>
      </c>
      <c r="J3">
        <v>5</v>
      </c>
      <c r="M3">
        <v>25</v>
      </c>
      <c r="P3" s="5" t="s">
        <v>60</v>
      </c>
    </row>
    <row r="7" spans="1:16">
      <c r="A7" t="s">
        <v>170</v>
      </c>
      <c r="D7" t="s">
        <v>171</v>
      </c>
      <c r="G7">
        <v>3</v>
      </c>
      <c r="J7">
        <v>5</v>
      </c>
      <c r="M7">
        <v>15</v>
      </c>
      <c r="P7" s="7" t="s">
        <v>47</v>
      </c>
    </row>
    <row r="10" spans="1:16">
      <c r="P10" s="5" t="s">
        <v>60</v>
      </c>
    </row>
    <row r="11" spans="1:16">
      <c r="A11" t="s">
        <v>180</v>
      </c>
      <c r="D11" t="s">
        <v>181</v>
      </c>
      <c r="G11">
        <v>5</v>
      </c>
      <c r="J11">
        <v>4</v>
      </c>
      <c r="M11">
        <v>20</v>
      </c>
    </row>
    <row r="14" spans="1:16">
      <c r="A14" t="s">
        <v>187</v>
      </c>
      <c r="D14" t="s">
        <v>188</v>
      </c>
      <c r="G14">
        <v>3</v>
      </c>
      <c r="J14">
        <v>5</v>
      </c>
      <c r="M14">
        <v>15</v>
      </c>
      <c r="P14" s="7" t="s">
        <v>47</v>
      </c>
    </row>
    <row r="17" spans="1:16">
      <c r="A17" t="s">
        <v>194</v>
      </c>
      <c r="D17" t="s">
        <v>195</v>
      </c>
      <c r="G17">
        <v>3</v>
      </c>
      <c r="J17">
        <v>4</v>
      </c>
      <c r="M17">
        <v>12</v>
      </c>
      <c r="P17" s="7" t="s">
        <v>47</v>
      </c>
    </row>
    <row r="20" spans="1:16">
      <c r="A20" t="s">
        <v>201</v>
      </c>
      <c r="D20" t="s">
        <v>202</v>
      </c>
      <c r="G20">
        <v>3</v>
      </c>
      <c r="J20">
        <v>4</v>
      </c>
      <c r="M20">
        <v>12</v>
      </c>
      <c r="P20" s="7" t="s">
        <v>47</v>
      </c>
    </row>
    <row r="23" spans="1:16">
      <c r="A23" t="s">
        <v>207</v>
      </c>
      <c r="D23" t="s">
        <v>208</v>
      </c>
      <c r="G23">
        <v>3</v>
      </c>
      <c r="J23">
        <v>5</v>
      </c>
      <c r="M23">
        <v>15</v>
      </c>
      <c r="P23" s="7" t="s">
        <v>47</v>
      </c>
    </row>
    <row r="26" spans="1:16">
      <c r="A26" t="s">
        <v>215</v>
      </c>
      <c r="D26" t="s">
        <v>216</v>
      </c>
      <c r="G26">
        <v>3</v>
      </c>
      <c r="J26">
        <v>4</v>
      </c>
      <c r="M26">
        <v>12</v>
      </c>
      <c r="P26" s="7" t="s">
        <v>47</v>
      </c>
    </row>
    <row r="29" spans="1:16">
      <c r="A29" t="s">
        <v>223</v>
      </c>
      <c r="D29" t="s">
        <v>224</v>
      </c>
      <c r="G29">
        <v>3</v>
      </c>
      <c r="J29">
        <v>4</v>
      </c>
      <c r="M29">
        <v>12</v>
      </c>
      <c r="P29" s="7" t="s">
        <v>47</v>
      </c>
    </row>
    <row r="32" spans="1:16">
      <c r="A32" t="s">
        <v>230</v>
      </c>
      <c r="D32" t="s">
        <v>231</v>
      </c>
      <c r="G32">
        <v>2</v>
      </c>
      <c r="J32">
        <v>5</v>
      </c>
      <c r="M32">
        <v>10</v>
      </c>
      <c r="P32" s="1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4DF9A-13D2-F248-8E04-5B6978E4474E}">
  <dimension ref="A1:Y16"/>
  <sheetViews>
    <sheetView workbookViewId="0">
      <selection activeCell="G30" sqref="G30"/>
    </sheetView>
  </sheetViews>
  <sheetFormatPr baseColWidth="10" defaultRowHeight="15"/>
  <cols>
    <col min="1" max="1" width="11.83203125" customWidth="1"/>
    <col min="2" max="2" width="23.6640625" customWidth="1"/>
    <col min="3" max="3" width="45.1640625" customWidth="1"/>
    <col min="4" max="4" width="49.33203125" customWidth="1"/>
    <col min="5" max="5" width="50" customWidth="1"/>
    <col min="7" max="7" width="60.6640625" customWidth="1"/>
    <col min="8" max="8" width="30" customWidth="1"/>
  </cols>
  <sheetData>
    <row r="1" spans="1:25">
      <c r="A1" s="18" t="s">
        <v>238</v>
      </c>
      <c r="B1" s="18" t="s">
        <v>239</v>
      </c>
      <c r="C1" s="18" t="s">
        <v>240</v>
      </c>
      <c r="D1" s="18" t="s">
        <v>241</v>
      </c>
      <c r="E1" s="18" t="s">
        <v>242</v>
      </c>
      <c r="F1" s="18" t="s">
        <v>243</v>
      </c>
      <c r="G1" s="18" t="s">
        <v>244</v>
      </c>
      <c r="H1" s="18" t="s">
        <v>24</v>
      </c>
      <c r="I1" s="14" t="s">
        <v>245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>
      <c r="A2" s="14" t="s">
        <v>246</v>
      </c>
      <c r="B2" s="9" t="s">
        <v>247</v>
      </c>
      <c r="C2" s="9" t="s">
        <v>248</v>
      </c>
      <c r="D2" s="9" t="s">
        <v>249</v>
      </c>
      <c r="E2" s="9" t="s">
        <v>250</v>
      </c>
      <c r="F2" s="15" t="s">
        <v>60</v>
      </c>
      <c r="G2" s="9" t="s">
        <v>251</v>
      </c>
      <c r="H2" s="9" t="s">
        <v>43</v>
      </c>
      <c r="I2" s="9" t="s">
        <v>252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>
      <c r="A3" s="14" t="s">
        <v>253</v>
      </c>
      <c r="B3" s="9" t="s">
        <v>254</v>
      </c>
      <c r="C3" s="9" t="s">
        <v>255</v>
      </c>
      <c r="D3" s="9" t="s">
        <v>256</v>
      </c>
      <c r="E3" s="9" t="s">
        <v>257</v>
      </c>
      <c r="F3" s="16" t="s">
        <v>47</v>
      </c>
      <c r="G3" s="9" t="s">
        <v>258</v>
      </c>
      <c r="H3" s="9" t="s">
        <v>259</v>
      </c>
      <c r="I3" s="9" t="s">
        <v>260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>
      <c r="A4" s="14" t="s">
        <v>261</v>
      </c>
      <c r="B4" s="9" t="s">
        <v>262</v>
      </c>
      <c r="C4" s="9" t="s">
        <v>263</v>
      </c>
      <c r="D4" s="9" t="s">
        <v>264</v>
      </c>
      <c r="E4" s="9" t="s">
        <v>265</v>
      </c>
      <c r="F4" s="16" t="s">
        <v>47</v>
      </c>
      <c r="G4" s="9" t="s">
        <v>266</v>
      </c>
      <c r="H4" s="9" t="s">
        <v>267</v>
      </c>
      <c r="I4" s="9" t="s">
        <v>268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>
      <c r="A5" s="14" t="s">
        <v>269</v>
      </c>
      <c r="B5" s="9" t="s">
        <v>270</v>
      </c>
      <c r="C5" s="9" t="s">
        <v>271</v>
      </c>
      <c r="D5" s="9" t="s">
        <v>272</v>
      </c>
      <c r="E5" s="9" t="s">
        <v>273</v>
      </c>
      <c r="F5" s="16" t="s">
        <v>47</v>
      </c>
      <c r="G5" s="9" t="s">
        <v>274</v>
      </c>
      <c r="H5" s="9" t="s">
        <v>43</v>
      </c>
      <c r="I5" s="9" t="s">
        <v>252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>
      <c r="A6" s="14" t="s">
        <v>275</v>
      </c>
      <c r="B6" s="9" t="s">
        <v>276</v>
      </c>
      <c r="C6" s="9" t="s">
        <v>277</v>
      </c>
      <c r="D6" s="9" t="s">
        <v>278</v>
      </c>
      <c r="E6" s="9" t="s">
        <v>279</v>
      </c>
      <c r="F6" s="16" t="s">
        <v>47</v>
      </c>
      <c r="G6" s="9" t="s">
        <v>280</v>
      </c>
      <c r="H6" s="9" t="s">
        <v>43</v>
      </c>
      <c r="I6" s="9" t="s">
        <v>268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>
      <c r="A7" s="14" t="s">
        <v>281</v>
      </c>
      <c r="B7" s="9" t="s">
        <v>282</v>
      </c>
      <c r="C7" s="9" t="s">
        <v>283</v>
      </c>
      <c r="D7" s="9" t="s">
        <v>284</v>
      </c>
      <c r="E7" s="9" t="s">
        <v>285</v>
      </c>
      <c r="F7" s="15" t="s">
        <v>60</v>
      </c>
      <c r="G7" s="9" t="s">
        <v>286</v>
      </c>
      <c r="H7" s="9" t="s">
        <v>43</v>
      </c>
      <c r="I7" s="9" t="s">
        <v>287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>
      <c r="A8" s="14" t="s">
        <v>288</v>
      </c>
      <c r="B8" s="9" t="s">
        <v>289</v>
      </c>
      <c r="C8" s="9" t="s">
        <v>290</v>
      </c>
      <c r="D8" s="9" t="s">
        <v>291</v>
      </c>
      <c r="E8" s="9" t="s">
        <v>292</v>
      </c>
      <c r="F8" s="15" t="s">
        <v>60</v>
      </c>
      <c r="G8" s="9" t="s">
        <v>293</v>
      </c>
      <c r="H8" s="9" t="s">
        <v>43</v>
      </c>
      <c r="I8" s="9" t="s">
        <v>287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>
      <c r="A9" s="14" t="s">
        <v>294</v>
      </c>
      <c r="B9" s="9" t="s">
        <v>295</v>
      </c>
      <c r="C9" s="9" t="s">
        <v>296</v>
      </c>
      <c r="D9" s="9" t="s">
        <v>297</v>
      </c>
      <c r="E9" s="9" t="s">
        <v>298</v>
      </c>
      <c r="F9" s="16" t="s">
        <v>47</v>
      </c>
      <c r="G9" s="9" t="s">
        <v>299</v>
      </c>
      <c r="H9" s="9" t="s">
        <v>43</v>
      </c>
      <c r="I9" s="9" t="s">
        <v>300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>
      <c r="A10" s="14" t="s">
        <v>301</v>
      </c>
      <c r="B10" s="9" t="s">
        <v>302</v>
      </c>
      <c r="C10" s="9" t="s">
        <v>303</v>
      </c>
      <c r="D10" s="9" t="s">
        <v>304</v>
      </c>
      <c r="E10" s="9" t="s">
        <v>305</v>
      </c>
      <c r="F10" s="16" t="s">
        <v>47</v>
      </c>
      <c r="G10" s="9" t="s">
        <v>306</v>
      </c>
      <c r="H10" s="9" t="s">
        <v>259</v>
      </c>
      <c r="I10" s="9" t="s">
        <v>252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>
      <c r="A11" s="14" t="s">
        <v>307</v>
      </c>
      <c r="B11" s="9" t="s">
        <v>308</v>
      </c>
      <c r="C11" s="9" t="s">
        <v>309</v>
      </c>
      <c r="D11" s="9" t="s">
        <v>310</v>
      </c>
      <c r="E11" s="9" t="s">
        <v>311</v>
      </c>
      <c r="F11" s="16" t="s">
        <v>47</v>
      </c>
      <c r="G11" s="9" t="s">
        <v>312</v>
      </c>
      <c r="H11" s="9" t="s">
        <v>313</v>
      </c>
      <c r="I11" s="9" t="s">
        <v>260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>
      <c r="A12" s="14" t="s">
        <v>314</v>
      </c>
      <c r="B12" s="9" t="s">
        <v>315</v>
      </c>
      <c r="C12" s="9" t="s">
        <v>316</v>
      </c>
      <c r="D12" s="9" t="s">
        <v>317</v>
      </c>
      <c r="E12" s="9" t="s">
        <v>318</v>
      </c>
      <c r="F12" s="16" t="s">
        <v>47</v>
      </c>
      <c r="G12" s="9" t="s">
        <v>319</v>
      </c>
      <c r="H12" s="9" t="s">
        <v>313</v>
      </c>
      <c r="I12" s="9" t="s">
        <v>300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>
      <c r="A13" s="14" t="s">
        <v>320</v>
      </c>
      <c r="B13" s="9" t="s">
        <v>321</v>
      </c>
      <c r="C13" s="9" t="s">
        <v>322</v>
      </c>
      <c r="D13" s="9" t="s">
        <v>323</v>
      </c>
      <c r="E13" s="9" t="s">
        <v>324</v>
      </c>
      <c r="F13" s="17" t="s">
        <v>46</v>
      </c>
      <c r="G13" s="9" t="s">
        <v>325</v>
      </c>
      <c r="H13" s="9" t="s">
        <v>128</v>
      </c>
      <c r="I13" s="9" t="s">
        <v>268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>
      <c r="A14" s="14" t="s">
        <v>326</v>
      </c>
      <c r="B14" s="9" t="s">
        <v>327</v>
      </c>
      <c r="C14" s="9" t="s">
        <v>328</v>
      </c>
      <c r="D14" s="9" t="s">
        <v>329</v>
      </c>
      <c r="E14" s="9" t="s">
        <v>330</v>
      </c>
      <c r="F14" s="17" t="s">
        <v>46</v>
      </c>
      <c r="G14" s="9" t="s">
        <v>331</v>
      </c>
      <c r="H14" s="9" t="s">
        <v>43</v>
      </c>
      <c r="I14" s="9" t="s">
        <v>268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>
      <c r="A15" s="14" t="s">
        <v>332</v>
      </c>
      <c r="B15" s="9" t="s">
        <v>333</v>
      </c>
      <c r="C15" s="9" t="s">
        <v>334</v>
      </c>
      <c r="D15" s="9" t="s">
        <v>335</v>
      </c>
      <c r="E15" s="9" t="s">
        <v>336</v>
      </c>
      <c r="F15" s="15" t="s">
        <v>60</v>
      </c>
      <c r="G15" s="9" t="s">
        <v>337</v>
      </c>
      <c r="H15" s="9" t="s">
        <v>338</v>
      </c>
      <c r="I15" s="9" t="s">
        <v>260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>
      <c r="A16" s="14" t="s">
        <v>339</v>
      </c>
      <c r="B16" s="9" t="s">
        <v>340</v>
      </c>
      <c r="C16" s="9" t="s">
        <v>341</v>
      </c>
      <c r="D16" s="9" t="s">
        <v>342</v>
      </c>
      <c r="E16" s="9" t="s">
        <v>343</v>
      </c>
      <c r="F16" s="16" t="s">
        <v>47</v>
      </c>
      <c r="G16" s="9" t="s">
        <v>344</v>
      </c>
      <c r="H16" s="9" t="s">
        <v>43</v>
      </c>
      <c r="I16" s="9" t="s">
        <v>300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2EFF-3BAD-A54F-B20F-1062BAE602E7}">
  <dimension ref="A1:I14"/>
  <sheetViews>
    <sheetView workbookViewId="0">
      <selection activeCell="E14" sqref="E14"/>
    </sheetView>
  </sheetViews>
  <sheetFormatPr baseColWidth="10" defaultRowHeight="15"/>
  <cols>
    <col min="2" max="2" width="49.83203125" customWidth="1"/>
    <col min="3" max="3" width="75.83203125" customWidth="1"/>
    <col min="4" max="4" width="66.6640625" customWidth="1"/>
    <col min="5" max="5" width="18.83203125" customWidth="1"/>
    <col min="8" max="8" width="22.33203125" customWidth="1"/>
  </cols>
  <sheetData>
    <row r="1" spans="1:9">
      <c r="A1" s="14" t="s">
        <v>238</v>
      </c>
      <c r="B1" s="14" t="s">
        <v>345</v>
      </c>
      <c r="C1" s="14" t="s">
        <v>346</v>
      </c>
      <c r="D1" s="14" t="s">
        <v>347</v>
      </c>
      <c r="E1" s="14" t="s">
        <v>348</v>
      </c>
      <c r="F1" s="14" t="s">
        <v>243</v>
      </c>
      <c r="G1" s="14" t="s">
        <v>245</v>
      </c>
      <c r="H1" s="14" t="s">
        <v>24</v>
      </c>
      <c r="I1" s="14" t="s">
        <v>349</v>
      </c>
    </row>
    <row r="2" spans="1:9">
      <c r="A2" s="9" t="s">
        <v>350</v>
      </c>
      <c r="B2" s="9" t="s">
        <v>351</v>
      </c>
      <c r="C2" s="9" t="s">
        <v>352</v>
      </c>
      <c r="D2" s="9" t="s">
        <v>353</v>
      </c>
      <c r="E2" s="20">
        <v>3000</v>
      </c>
      <c r="F2" s="15" t="s">
        <v>60</v>
      </c>
      <c r="G2" s="9" t="s">
        <v>252</v>
      </c>
      <c r="H2" s="9" t="s">
        <v>43</v>
      </c>
      <c r="I2" s="9" t="s">
        <v>354</v>
      </c>
    </row>
    <row r="3" spans="1:9">
      <c r="A3" s="9" t="s">
        <v>355</v>
      </c>
      <c r="B3" s="9" t="s">
        <v>356</v>
      </c>
      <c r="C3" s="9" t="s">
        <v>357</v>
      </c>
      <c r="D3" s="9" t="s">
        <v>358</v>
      </c>
      <c r="E3" s="20">
        <v>1500</v>
      </c>
      <c r="F3" s="21" t="s">
        <v>47</v>
      </c>
      <c r="G3" s="9" t="s">
        <v>260</v>
      </c>
      <c r="H3" s="9" t="s">
        <v>259</v>
      </c>
      <c r="I3" s="9" t="s">
        <v>181</v>
      </c>
    </row>
    <row r="4" spans="1:9">
      <c r="A4" s="9" t="s">
        <v>359</v>
      </c>
      <c r="B4" s="9" t="s">
        <v>360</v>
      </c>
      <c r="C4" s="9" t="s">
        <v>361</v>
      </c>
      <c r="D4" s="9" t="s">
        <v>362</v>
      </c>
      <c r="E4" s="20">
        <v>2000</v>
      </c>
      <c r="F4" s="21" t="s">
        <v>47</v>
      </c>
      <c r="G4" s="9" t="s">
        <v>268</v>
      </c>
      <c r="H4" s="9" t="s">
        <v>267</v>
      </c>
      <c r="I4" s="9" t="s">
        <v>363</v>
      </c>
    </row>
    <row r="5" spans="1:9">
      <c r="A5" s="9" t="s">
        <v>364</v>
      </c>
      <c r="B5" s="9" t="s">
        <v>365</v>
      </c>
      <c r="C5" s="9" t="s">
        <v>366</v>
      </c>
      <c r="D5" s="9" t="s">
        <v>367</v>
      </c>
      <c r="E5" s="20">
        <v>3000</v>
      </c>
      <c r="F5" s="21" t="s">
        <v>47</v>
      </c>
      <c r="G5" s="9" t="s">
        <v>252</v>
      </c>
      <c r="H5" s="9" t="s">
        <v>43</v>
      </c>
      <c r="I5" s="9" t="s">
        <v>368</v>
      </c>
    </row>
    <row r="6" spans="1:9">
      <c r="A6" s="9" t="s">
        <v>369</v>
      </c>
      <c r="B6" s="9" t="s">
        <v>370</v>
      </c>
      <c r="C6" s="9" t="s">
        <v>371</v>
      </c>
      <c r="D6" s="9" t="s">
        <v>372</v>
      </c>
      <c r="E6" s="20">
        <v>6000</v>
      </c>
      <c r="F6" s="21" t="s">
        <v>47</v>
      </c>
      <c r="G6" s="9" t="s">
        <v>268</v>
      </c>
      <c r="H6" s="9" t="s">
        <v>43</v>
      </c>
      <c r="I6" s="9" t="s">
        <v>373</v>
      </c>
    </row>
    <row r="7" spans="1:9">
      <c r="A7" s="9" t="s">
        <v>374</v>
      </c>
      <c r="B7" s="9" t="s">
        <v>375</v>
      </c>
      <c r="C7" s="9" t="s">
        <v>376</v>
      </c>
      <c r="D7" s="9" t="s">
        <v>286</v>
      </c>
      <c r="E7" s="20">
        <v>1000</v>
      </c>
      <c r="F7" s="15" t="s">
        <v>60</v>
      </c>
      <c r="G7" s="9" t="s">
        <v>287</v>
      </c>
      <c r="H7" s="9" t="s">
        <v>43</v>
      </c>
      <c r="I7" s="9" t="s">
        <v>377</v>
      </c>
    </row>
    <row r="8" spans="1:9">
      <c r="A8" s="9" t="s">
        <v>378</v>
      </c>
      <c r="B8" s="9" t="s">
        <v>379</v>
      </c>
      <c r="C8" s="9" t="s">
        <v>380</v>
      </c>
      <c r="D8" s="9" t="s">
        <v>293</v>
      </c>
      <c r="E8" s="20">
        <v>4000</v>
      </c>
      <c r="F8" s="15" t="s">
        <v>60</v>
      </c>
      <c r="G8" s="9" t="s">
        <v>287</v>
      </c>
      <c r="H8" s="9" t="s">
        <v>43</v>
      </c>
      <c r="I8" s="9" t="s">
        <v>381</v>
      </c>
    </row>
    <row r="9" spans="1:9">
      <c r="A9" s="9" t="s">
        <v>382</v>
      </c>
      <c r="B9" s="9" t="s">
        <v>383</v>
      </c>
      <c r="C9" s="9" t="s">
        <v>384</v>
      </c>
      <c r="D9" s="9" t="s">
        <v>385</v>
      </c>
      <c r="E9" s="20">
        <v>5000</v>
      </c>
      <c r="F9" s="21" t="s">
        <v>47</v>
      </c>
      <c r="G9" s="9" t="s">
        <v>300</v>
      </c>
      <c r="H9" s="9" t="s">
        <v>43</v>
      </c>
      <c r="I9" s="9" t="s">
        <v>208</v>
      </c>
    </row>
    <row r="10" spans="1:9">
      <c r="A10" s="9" t="s">
        <v>386</v>
      </c>
      <c r="B10" s="9" t="s">
        <v>387</v>
      </c>
      <c r="C10" s="9" t="s">
        <v>388</v>
      </c>
      <c r="D10" s="9" t="s">
        <v>312</v>
      </c>
      <c r="E10" s="20">
        <v>500</v>
      </c>
      <c r="F10" s="21" t="s">
        <v>47</v>
      </c>
      <c r="G10" s="9" t="s">
        <v>260</v>
      </c>
      <c r="H10" s="9" t="s">
        <v>313</v>
      </c>
      <c r="I10" s="9" t="s">
        <v>216</v>
      </c>
    </row>
    <row r="11" spans="1:9">
      <c r="A11" s="9" t="s">
        <v>389</v>
      </c>
      <c r="B11" s="9" t="s">
        <v>390</v>
      </c>
      <c r="C11" s="9" t="s">
        <v>391</v>
      </c>
      <c r="D11" s="9" t="s">
        <v>392</v>
      </c>
      <c r="E11" s="20">
        <v>1500</v>
      </c>
      <c r="F11" s="21" t="s">
        <v>47</v>
      </c>
      <c r="G11" s="9" t="s">
        <v>300</v>
      </c>
      <c r="H11" s="9" t="s">
        <v>313</v>
      </c>
      <c r="I11" s="9" t="s">
        <v>216</v>
      </c>
    </row>
    <row r="12" spans="1:9">
      <c r="A12" s="9" t="s">
        <v>393</v>
      </c>
      <c r="B12" s="9" t="s">
        <v>322</v>
      </c>
      <c r="C12" s="9" t="s">
        <v>394</v>
      </c>
      <c r="D12" s="9" t="s">
        <v>395</v>
      </c>
      <c r="E12" s="20">
        <v>500</v>
      </c>
      <c r="F12" s="22" t="s">
        <v>46</v>
      </c>
      <c r="G12" s="9" t="s">
        <v>268</v>
      </c>
      <c r="H12" s="9" t="s">
        <v>128</v>
      </c>
      <c r="I12" s="9" t="s">
        <v>396</v>
      </c>
    </row>
    <row r="13" spans="1:9">
      <c r="A13" s="9" t="s">
        <v>397</v>
      </c>
      <c r="B13" s="9" t="s">
        <v>398</v>
      </c>
      <c r="C13" s="9" t="s">
        <v>399</v>
      </c>
      <c r="D13" s="9" t="s">
        <v>400</v>
      </c>
      <c r="E13" s="20">
        <v>1500</v>
      </c>
      <c r="F13" s="15" t="s">
        <v>60</v>
      </c>
      <c r="G13" s="9" t="s">
        <v>260</v>
      </c>
      <c r="H13" s="9" t="s">
        <v>401</v>
      </c>
      <c r="I13" s="9" t="s">
        <v>402</v>
      </c>
    </row>
    <row r="14" spans="1:9">
      <c r="D14" s="23" t="s">
        <v>403</v>
      </c>
      <c r="E14" s="19">
        <f>SUM(E2:E13)</f>
        <v>29500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0344-13F3-7D44-8FDF-F3F4EEB865C5}">
  <dimension ref="A1:P22"/>
  <sheetViews>
    <sheetView tabSelected="1" workbookViewId="0">
      <selection activeCell="D30" sqref="D30"/>
    </sheetView>
  </sheetViews>
  <sheetFormatPr baseColWidth="10" defaultRowHeight="15"/>
  <cols>
    <col min="1" max="1" width="25.33203125" customWidth="1"/>
    <col min="2" max="2" width="46.83203125" customWidth="1"/>
    <col min="3" max="3" width="29.33203125" customWidth="1"/>
    <col min="4" max="4" width="37.33203125" customWidth="1"/>
    <col min="10" max="10" width="22.6640625" customWidth="1"/>
  </cols>
  <sheetData>
    <row r="1" spans="1:16">
      <c r="A1" s="14" t="s">
        <v>404</v>
      </c>
      <c r="B1" s="14" t="s">
        <v>405</v>
      </c>
      <c r="C1" s="14" t="s">
        <v>406</v>
      </c>
      <c r="D1" s="14" t="s">
        <v>24</v>
      </c>
      <c r="E1" s="14" t="s">
        <v>243</v>
      </c>
      <c r="F1" s="14" t="s">
        <v>407</v>
      </c>
      <c r="G1" s="14" t="s">
        <v>408</v>
      </c>
      <c r="H1" s="14" t="s">
        <v>37</v>
      </c>
      <c r="I1" s="14" t="s">
        <v>409</v>
      </c>
      <c r="J1" s="14" t="s">
        <v>436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</row>
    <row r="2" spans="1:16">
      <c r="A2" s="9" t="s">
        <v>410</v>
      </c>
      <c r="B2" s="9" t="s">
        <v>411</v>
      </c>
      <c r="C2" s="9" t="s">
        <v>355</v>
      </c>
      <c r="D2" s="9" t="s">
        <v>259</v>
      </c>
      <c r="E2" s="9" t="s">
        <v>47</v>
      </c>
      <c r="F2" s="9" t="s">
        <v>260</v>
      </c>
      <c r="G2" s="9" t="s">
        <v>260</v>
      </c>
      <c r="H2" s="20">
        <v>1500</v>
      </c>
      <c r="I2" s="9" t="s">
        <v>412</v>
      </c>
      <c r="K2" s="9" t="s">
        <v>260</v>
      </c>
      <c r="L2" s="9" t="s">
        <v>252</v>
      </c>
      <c r="M2" s="9" t="s">
        <v>268</v>
      </c>
      <c r="N2" s="9" t="s">
        <v>300</v>
      </c>
      <c r="O2" s="9" t="s">
        <v>287</v>
      </c>
      <c r="P2" s="9" t="s">
        <v>435</v>
      </c>
    </row>
    <row r="3" spans="1:16">
      <c r="A3" s="9" t="s">
        <v>413</v>
      </c>
      <c r="B3" s="9" t="s">
        <v>414</v>
      </c>
      <c r="C3" s="9" t="s">
        <v>397</v>
      </c>
      <c r="D3" s="9" t="s">
        <v>401</v>
      </c>
      <c r="E3" s="9" t="s">
        <v>60</v>
      </c>
      <c r="F3" s="9" t="s">
        <v>260</v>
      </c>
      <c r="G3" s="9" t="s">
        <v>260</v>
      </c>
      <c r="H3" s="20">
        <v>1500</v>
      </c>
      <c r="I3" s="9" t="s">
        <v>412</v>
      </c>
      <c r="J3" t="s">
        <v>437</v>
      </c>
      <c r="K3" s="24"/>
    </row>
    <row r="4" spans="1:16">
      <c r="A4" s="9" t="s">
        <v>415</v>
      </c>
      <c r="B4" s="9" t="s">
        <v>312</v>
      </c>
      <c r="C4" s="9" t="s">
        <v>386</v>
      </c>
      <c r="D4" s="9" t="s">
        <v>313</v>
      </c>
      <c r="E4" s="9" t="s">
        <v>47</v>
      </c>
      <c r="F4" s="9" t="s">
        <v>260</v>
      </c>
      <c r="G4" s="9" t="s">
        <v>260</v>
      </c>
      <c r="H4" s="20">
        <v>500</v>
      </c>
      <c r="I4" s="9" t="s">
        <v>412</v>
      </c>
      <c r="J4" t="s">
        <v>438</v>
      </c>
      <c r="K4" s="24"/>
    </row>
    <row r="5" spans="1:16">
      <c r="A5" s="9" t="s">
        <v>416</v>
      </c>
      <c r="B5" s="9" t="s">
        <v>417</v>
      </c>
      <c r="C5" s="9" t="s">
        <v>350</v>
      </c>
      <c r="D5" s="9" t="s">
        <v>43</v>
      </c>
      <c r="E5" s="9" t="s">
        <v>60</v>
      </c>
      <c r="F5" s="9" t="s">
        <v>252</v>
      </c>
      <c r="G5" s="9" t="s">
        <v>252</v>
      </c>
      <c r="H5" s="20">
        <v>3000</v>
      </c>
      <c r="I5" s="9" t="s">
        <v>412</v>
      </c>
      <c r="J5" t="s">
        <v>439</v>
      </c>
      <c r="K5" s="24"/>
    </row>
    <row r="6" spans="1:16">
      <c r="A6" s="9" t="s">
        <v>418</v>
      </c>
      <c r="B6" s="9" t="s">
        <v>419</v>
      </c>
      <c r="C6" s="9" t="s">
        <v>364</v>
      </c>
      <c r="D6" s="9" t="s">
        <v>43</v>
      </c>
      <c r="E6" s="9" t="s">
        <v>47</v>
      </c>
      <c r="F6" s="9" t="s">
        <v>252</v>
      </c>
      <c r="G6" s="9" t="s">
        <v>252</v>
      </c>
      <c r="H6" s="20">
        <v>3000</v>
      </c>
      <c r="I6" s="9" t="s">
        <v>412</v>
      </c>
      <c r="J6" t="s">
        <v>440</v>
      </c>
      <c r="L6" s="24"/>
    </row>
    <row r="7" spans="1:16">
      <c r="A7" s="9" t="s">
        <v>420</v>
      </c>
      <c r="B7" s="9" t="s">
        <v>421</v>
      </c>
      <c r="C7" s="9" t="s">
        <v>359</v>
      </c>
      <c r="D7" s="9" t="s">
        <v>267</v>
      </c>
      <c r="E7" s="9" t="s">
        <v>47</v>
      </c>
      <c r="F7" s="9" t="s">
        <v>268</v>
      </c>
      <c r="G7" s="9" t="s">
        <v>268</v>
      </c>
      <c r="H7" s="20">
        <v>2000</v>
      </c>
      <c r="I7" s="9" t="s">
        <v>412</v>
      </c>
      <c r="J7" t="s">
        <v>441</v>
      </c>
      <c r="L7" s="24"/>
    </row>
    <row r="8" spans="1:16">
      <c r="A8" s="9" t="s">
        <v>422</v>
      </c>
      <c r="B8" s="9" t="s">
        <v>423</v>
      </c>
      <c r="C8" s="9" t="s">
        <v>369</v>
      </c>
      <c r="D8" s="9" t="s">
        <v>43</v>
      </c>
      <c r="E8" s="9" t="s">
        <v>47</v>
      </c>
      <c r="F8" s="9" t="s">
        <v>268</v>
      </c>
      <c r="G8" s="9" t="s">
        <v>300</v>
      </c>
      <c r="H8" s="20">
        <v>6000</v>
      </c>
      <c r="I8" s="9" t="s">
        <v>412</v>
      </c>
      <c r="J8" t="s">
        <v>442</v>
      </c>
      <c r="M8" s="24"/>
    </row>
    <row r="9" spans="1:16">
      <c r="A9" s="9" t="s">
        <v>424</v>
      </c>
      <c r="B9" s="9" t="s">
        <v>425</v>
      </c>
      <c r="C9" s="9" t="s">
        <v>393</v>
      </c>
      <c r="D9" s="9" t="s">
        <v>128</v>
      </c>
      <c r="E9" s="9" t="s">
        <v>46</v>
      </c>
      <c r="F9" s="9" t="s">
        <v>268</v>
      </c>
      <c r="G9" s="9" t="s">
        <v>268</v>
      </c>
      <c r="H9" s="20">
        <v>500</v>
      </c>
      <c r="I9" s="9" t="s">
        <v>412</v>
      </c>
      <c r="J9" t="s">
        <v>276</v>
      </c>
      <c r="M9" s="24"/>
      <c r="N9" s="24"/>
    </row>
    <row r="10" spans="1:16">
      <c r="A10" s="9" t="s">
        <v>426</v>
      </c>
      <c r="B10" s="9" t="s">
        <v>427</v>
      </c>
      <c r="C10" s="9" t="s">
        <v>382</v>
      </c>
      <c r="D10" s="9" t="s">
        <v>43</v>
      </c>
      <c r="E10" s="9" t="s">
        <v>47</v>
      </c>
      <c r="F10" s="9" t="s">
        <v>300</v>
      </c>
      <c r="G10" s="9" t="s">
        <v>300</v>
      </c>
      <c r="H10" s="20">
        <v>5000</v>
      </c>
      <c r="I10" s="9" t="s">
        <v>412</v>
      </c>
      <c r="J10" t="s">
        <v>443</v>
      </c>
      <c r="M10" s="24"/>
    </row>
    <row r="11" spans="1:16">
      <c r="A11" s="9" t="s">
        <v>428</v>
      </c>
      <c r="B11" s="9" t="s">
        <v>319</v>
      </c>
      <c r="C11" s="9" t="s">
        <v>389</v>
      </c>
      <c r="D11" s="9" t="s">
        <v>313</v>
      </c>
      <c r="E11" s="9" t="s">
        <v>47</v>
      </c>
      <c r="F11" s="9" t="s">
        <v>300</v>
      </c>
      <c r="G11" s="9" t="s">
        <v>300</v>
      </c>
      <c r="H11" s="20">
        <v>1500</v>
      </c>
      <c r="I11" s="9" t="s">
        <v>412</v>
      </c>
      <c r="J11" t="s">
        <v>295</v>
      </c>
      <c r="N11" s="24"/>
    </row>
    <row r="12" spans="1:16">
      <c r="A12" s="9" t="s">
        <v>429</v>
      </c>
      <c r="B12" s="9" t="s">
        <v>430</v>
      </c>
      <c r="C12" s="9" t="s">
        <v>431</v>
      </c>
      <c r="D12" s="9" t="s">
        <v>43</v>
      </c>
      <c r="E12" s="9" t="s">
        <v>60</v>
      </c>
      <c r="F12" s="9" t="s">
        <v>287</v>
      </c>
      <c r="G12" s="9" t="s">
        <v>287</v>
      </c>
      <c r="H12" s="20">
        <v>5000</v>
      </c>
      <c r="I12" s="9" t="s">
        <v>412</v>
      </c>
      <c r="J12" t="s">
        <v>444</v>
      </c>
      <c r="O12" s="24"/>
    </row>
    <row r="13" spans="1:16">
      <c r="A13" s="9" t="s">
        <v>432</v>
      </c>
      <c r="B13" s="9" t="s">
        <v>433</v>
      </c>
      <c r="C13" s="9" t="s">
        <v>397</v>
      </c>
      <c r="D13" s="9" t="s">
        <v>434</v>
      </c>
      <c r="E13" s="9" t="s">
        <v>60</v>
      </c>
      <c r="F13" s="9" t="s">
        <v>435</v>
      </c>
      <c r="G13" s="9" t="s">
        <v>435</v>
      </c>
      <c r="H13" s="20">
        <v>0</v>
      </c>
      <c r="I13" s="9" t="s">
        <v>412</v>
      </c>
      <c r="J13" t="s">
        <v>445</v>
      </c>
      <c r="O13" s="24"/>
    </row>
    <row r="14" spans="1:16">
      <c r="J14" t="s">
        <v>446</v>
      </c>
      <c r="P14" s="24"/>
    </row>
    <row r="16" spans="1:16" ht="18">
      <c r="A16" s="25" t="s">
        <v>447</v>
      </c>
    </row>
    <row r="17" spans="1:2">
      <c r="A17" s="14" t="s">
        <v>4</v>
      </c>
      <c r="B17" s="14" t="s">
        <v>5</v>
      </c>
    </row>
    <row r="18" spans="1:2">
      <c r="A18" s="9" t="s">
        <v>448</v>
      </c>
      <c r="B18" s="20">
        <v>30000</v>
      </c>
    </row>
    <row r="19" spans="1:2">
      <c r="A19" s="9" t="s">
        <v>449</v>
      </c>
      <c r="B19" s="20">
        <v>3000</v>
      </c>
    </row>
    <row r="20" spans="1:2">
      <c r="A20" s="9" t="s">
        <v>450</v>
      </c>
      <c r="B20" s="20">
        <v>33000</v>
      </c>
    </row>
    <row r="21" spans="1:2">
      <c r="A21" s="14" t="s">
        <v>451</v>
      </c>
    </row>
    <row r="22" spans="1:2">
      <c r="A22" t="s">
        <v>452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5954-E659-9E4A-8BEE-CE5DE42E857F}">
  <dimension ref="A1:J14"/>
  <sheetViews>
    <sheetView workbookViewId="0">
      <selection activeCell="B11" sqref="B11"/>
    </sheetView>
  </sheetViews>
  <sheetFormatPr baseColWidth="10" defaultRowHeight="15"/>
  <cols>
    <col min="1" max="1" width="46" customWidth="1"/>
    <col min="3" max="3" width="13.6640625" customWidth="1"/>
    <col min="5" max="5" width="20.83203125" customWidth="1"/>
    <col min="7" max="7" width="23.83203125" customWidth="1"/>
    <col min="9" max="9" width="15.33203125" customWidth="1"/>
  </cols>
  <sheetData>
    <row r="1" spans="1:10" ht="18">
      <c r="A1" s="27" t="s">
        <v>453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8">
      <c r="A2" s="28" t="s">
        <v>454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9" customHeight="1">
      <c r="D3" s="26">
        <v>46204</v>
      </c>
    </row>
    <row r="5" spans="1:10">
      <c r="A5" s="33" t="s">
        <v>455</v>
      </c>
      <c r="B5" s="34"/>
      <c r="C5" s="35" t="s">
        <v>457</v>
      </c>
      <c r="D5" s="34"/>
      <c r="E5" s="35" t="s">
        <v>461</v>
      </c>
      <c r="F5" s="34"/>
      <c r="G5" s="35" t="s">
        <v>462</v>
      </c>
      <c r="H5" s="34"/>
      <c r="I5" s="35" t="s">
        <v>463</v>
      </c>
    </row>
    <row r="6" spans="1:10">
      <c r="A6" s="29">
        <v>13</v>
      </c>
      <c r="C6" s="30">
        <v>10</v>
      </c>
      <c r="E6" s="30">
        <v>6</v>
      </c>
      <c r="G6" s="31">
        <v>33000</v>
      </c>
      <c r="I6" s="32">
        <v>0</v>
      </c>
    </row>
    <row r="7" spans="1:10">
      <c r="A7" s="29" t="s">
        <v>456</v>
      </c>
      <c r="C7" s="30" t="s">
        <v>458</v>
      </c>
      <c r="E7" s="30" t="s">
        <v>459</v>
      </c>
      <c r="G7" s="30" t="s">
        <v>460</v>
      </c>
      <c r="I7" s="30" t="s">
        <v>464</v>
      </c>
    </row>
    <row r="10" spans="1:10">
      <c r="A10" t="s">
        <v>465</v>
      </c>
      <c r="B10" t="s">
        <v>466</v>
      </c>
    </row>
    <row r="11" spans="1:10">
      <c r="A11" t="s">
        <v>60</v>
      </c>
      <c r="B11">
        <v>10</v>
      </c>
    </row>
    <row r="12" spans="1:10">
      <c r="A12" t="s">
        <v>47</v>
      </c>
    </row>
    <row r="13" spans="1:10">
      <c r="A13" t="s">
        <v>46</v>
      </c>
    </row>
    <row r="14" spans="1:10">
      <c r="A14" t="s">
        <v>233</v>
      </c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 Register</vt:lpstr>
      <vt:lpstr>Asset Summary</vt:lpstr>
      <vt:lpstr>Threat Model</vt:lpstr>
      <vt:lpstr>Risk Matrix</vt:lpstr>
      <vt:lpstr>Gap Analysis</vt:lpstr>
      <vt:lpstr>Recommendations</vt:lpstr>
      <vt:lpstr>Implementation Roadmap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Thenuki Munasinghe</cp:lastModifiedBy>
  <cp:revision/>
  <dcterms:created xsi:type="dcterms:W3CDTF">2026-08-13T10:55:20Z</dcterms:created>
  <dcterms:modified xsi:type="dcterms:W3CDTF">2026-08-16T08:23:31Z</dcterms:modified>
  <cp:category/>
  <cp:contentStatus/>
</cp:coreProperties>
</file>